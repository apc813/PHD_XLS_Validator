
<file path=[Content_Types].xml><?xml version="1.0" encoding="utf-8"?>
<Types xmlns="http://schemas.openxmlformats.org/package/2006/content-types">
  <Default Extension="bin" ContentType="application/vnd.ms-office.vbaProject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metadata.xml" ContentType="application/vnd.openxmlformats-officedocument.spreadsheetml.sheetMetadata+xml"/>
  <Override PartName="/xl/drawings/drawing1.xml" ContentType="application/vnd.openxmlformats-officedocument.drawing+xml"/>
  <Override PartName="/xl/ctrlProps/ctrlProp1.xml" ContentType="application/vnd.ms-excel.controlproperties+xml"/>
  <Override PartName="/xl/charts/chart1.xml" ContentType="application/vnd.openxmlformats-officedocument.drawingml.chart+xml"/>
  <Override PartName="/xl/charts/style1.xml" ContentType="application/vnd.ms-office.chartstyle+xml"/>
  <Override PartName="/xl/charts/colors1.xml" ContentType="application/vnd.ms-office.chartcolorstyle+xml"/>
  <Override PartName="/xl/charts/chart2.xml" ContentType="application/vnd.openxmlformats-officedocument.drawingml.chart+xml"/>
  <Override PartName="/xl/charts/style2.xml" ContentType="application/vnd.ms-office.chartstyle+xml"/>
  <Override PartName="/xl/charts/colors2.xml" ContentType="application/vnd.ms-office.chartcolorstyle+xml"/>
  <Override PartName="/xl/charts/chart3.xml" ContentType="application/vnd.openxmlformats-officedocument.drawingml.chart+xml"/>
  <Override PartName="/xl/charts/style3.xml" ContentType="application/vnd.ms-office.chartstyle+xml"/>
  <Override PartName="/xl/charts/colors3.xml" ContentType="application/vnd.ms-office.chartcolorstyle+xml"/>
  <Override PartName="/xl/drawings/drawing2.xml" ContentType="application/vnd.openxmlformats-officedocument.drawing+xml"/>
  <Override PartName="/xl/ctrlProps/ctrlProp2.xml" ContentType="application/vnd.ms-excel.controlproperties+xml"/>
  <Override PartName="/xl/charts/chart4.xml" ContentType="application/vnd.openxmlformats-officedocument.drawingml.chart+xml"/>
  <Override PartName="/xl/charts/style4.xml" ContentType="application/vnd.ms-office.chartstyle+xml"/>
  <Override PartName="/xl/charts/colors4.xml" ContentType="application/vnd.ms-office.chartcolorstyle+xml"/>
  <Override PartName="/xl/charts/chart5.xml" ContentType="application/vnd.openxmlformats-officedocument.drawingml.chart+xml"/>
  <Override PartName="/xl/charts/style5.xml" ContentType="application/vnd.ms-office.chartstyle+xml"/>
  <Override PartName="/xl/charts/colors5.xml" ContentType="application/vnd.ms-office.chartcolorstyle+xml"/>
  <Override PartName="/xl/charts/chart6.xml" ContentType="application/vnd.openxmlformats-officedocument.drawingml.chart+xml"/>
  <Override PartName="/xl/drawings/drawing3.xml" ContentType="application/vnd.openxmlformats-officedocument.drawing+xml"/>
  <Override PartName="/xl/ctrlProps/ctrlProp3.xml" ContentType="application/vnd.ms-excel.controlproperties+xml"/>
  <Override PartName="/xl/charts/chart7.xml" ContentType="application/vnd.openxmlformats-officedocument.drawingml.chart+xml"/>
  <Override PartName="/xl/charts/style6.xml" ContentType="application/vnd.ms-office.chartstyle+xml"/>
  <Override PartName="/xl/charts/colors6.xml" ContentType="application/vnd.ms-office.chartcolorstyle+xml"/>
  <Override PartName="/xl/charts/chart8.xml" ContentType="application/vnd.openxmlformats-officedocument.drawingml.chart+xml"/>
  <Override PartName="/xl/charts/style7.xml" ContentType="application/vnd.ms-office.chartstyle+xml"/>
  <Override PartName="/xl/charts/colors7.xml" ContentType="application/vnd.ms-office.chartcolorstyle+xml"/>
  <Override PartName="/xl/charts/chart9.xml" ContentType="application/vnd.openxmlformats-officedocument.drawingml.chart+xml"/>
  <Override PartName="/xl/charts/style8.xml" ContentType="application/vnd.ms-office.chartstyle+xml"/>
  <Override PartName="/xl/charts/colors8.xml" ContentType="application/vnd.ms-office.chartcolorstyle+xml"/>
  <Override PartName="/xl/calcChain.xml" ContentType="application/vnd.openxmlformats-officedocument.spreadsheetml.calcChain+xml"/>
  <Override PartName="/customXml/itemProps1.xml" ContentType="application/vnd.openxmlformats-officedocument.customXmlProperties+xml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9204" codeName="{DD97A8EA-9A9A-E61F-A557-7D5A7D7259CE}"/>
  <workbookPr codeName="ThisWorkbook" defaultThemeVersion="202300"/>
  <mc:AlternateContent xmlns:mc="http://schemas.openxmlformats.org/markup-compatibility/2006">
    <mc:Choice Requires="x15">
      <x15ac:absPath xmlns:x15ac="http://schemas.microsoft.com/office/spreadsheetml/2010/11/ac" url="W:\GitHub\PHD_XLS_Validator\"/>
    </mc:Choice>
  </mc:AlternateContent>
  <xr:revisionPtr revIDLastSave="0" documentId="13_ncr:1_{6D447760-B56D-40AD-B77A-710926CFB09F}" xr6:coauthVersionLast="47" xr6:coauthVersionMax="47" xr10:uidLastSave="{00000000-0000-0000-0000-000000000000}"/>
  <bookViews>
    <workbookView xWindow="-120" yWindow="-120" windowWidth="51840" windowHeight="21240" xr2:uid="{B30E8A96-C8BB-4099-9CE9-6C249E4F3EED}"/>
  </bookViews>
  <sheets>
    <sheet name="Base" sheetId="1" r:id="rId1"/>
    <sheet name="Arch" sheetId="2" r:id="rId2"/>
    <sheet name="Combined" sheetId="3" r:id="rId3"/>
  </sheets>
  <functionGroups builtInGroupCount="19"/>
  <definedNames>
    <definedName name="GraphData_Arch">Arch!$G$2:$I$60</definedName>
    <definedName name="GraphData_Base">Base!$G$2:$I$21</definedName>
    <definedName name="rgeX">OFFSET(Combined!$A$2,0,0,39,1)</definedName>
    <definedName name="vbaDataOut">_xlfn.ANCHORARRAY(Combined!$A$2)</definedName>
    <definedName name="vbaDataRead" localSheetId="1">Arch!$A$2:$C$2000</definedName>
    <definedName name="vbaDataRead" localSheetId="0">Base!$A$2:$C$2000</definedName>
    <definedName name="vbaFileName" localSheetId="1">Arch!$L$1</definedName>
    <definedName name="vbaFileName" localSheetId="0">Base!$L$1</definedName>
    <definedName name="vbaFileName" localSheetId="2">Combined!$G$1</definedName>
    <definedName name="vbaNameOut">Combined!$L$1</definedName>
    <definedName name="vbaRgeColors" localSheetId="1">Arch!$K$2:$K$60</definedName>
    <definedName name="vbaRgeColors" localSheetId="0">Base!$K$2:$K$21</definedName>
    <definedName name="vbaRgeColors" localSheetId="2">Combined!$F$2:$F$80</definedName>
  </definedName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L1" i="3" l="1" a="1"/>
  <c r="L1" i="3" s="1"/>
  <c r="F3" i="3" a="1"/>
  <c r="F3" i="3" s="1"/>
  <c r="F2" i="3" a="1"/>
  <c r="F2" i="3" s="1"/>
  <c r="G21" i="2" a="1"/>
  <c r="H21" i="2" a="1"/>
  <c r="I21" i="2" a="1"/>
  <c r="G22" i="2" a="1"/>
  <c r="H22" i="2" a="1"/>
  <c r="I22" i="2" a="1"/>
  <c r="G23" i="2" a="1"/>
  <c r="H23" i="2" a="1"/>
  <c r="I23" i="2" a="1"/>
  <c r="G24" i="2" a="1"/>
  <c r="H24" i="2" a="1"/>
  <c r="I24" i="2" a="1"/>
  <c r="G25" i="2" a="1"/>
  <c r="H25" i="2" a="1"/>
  <c r="I25" i="2" a="1"/>
  <c r="G26" i="2" a="1"/>
  <c r="H26" i="2" a="1"/>
  <c r="I26" i="2" a="1"/>
  <c r="G27" i="2" a="1"/>
  <c r="H27" i="2" a="1"/>
  <c r="I27" i="2" a="1"/>
  <c r="G28" i="2" a="1"/>
  <c r="H28" i="2" a="1"/>
  <c r="I28" i="2" a="1"/>
  <c r="G29" i="2" a="1"/>
  <c r="H29" i="2" a="1"/>
  <c r="I29" i="2" a="1"/>
  <c r="G30" i="2" a="1"/>
  <c r="H30" i="2" a="1"/>
  <c r="I30" i="2" a="1"/>
  <c r="G31" i="2" a="1"/>
  <c r="H31" i="2" a="1"/>
  <c r="I31" i="2" a="1"/>
  <c r="G32" i="2" a="1"/>
  <c r="H32" i="2" a="1"/>
  <c r="I32" i="2" a="1"/>
  <c r="G33" i="2" a="1"/>
  <c r="H33" i="2" a="1"/>
  <c r="I33" i="2" a="1"/>
  <c r="G34" i="2" a="1"/>
  <c r="H34" i="2" a="1"/>
  <c r="I34" i="2" a="1"/>
  <c r="G35" i="2" a="1"/>
  <c r="H35" i="2" a="1"/>
  <c r="I35" i="2" a="1"/>
  <c r="G36" i="2" a="1"/>
  <c r="H36" i="2" a="1"/>
  <c r="I36" i="2" a="1"/>
  <c r="G37" i="2" a="1"/>
  <c r="H37" i="2" a="1"/>
  <c r="I37" i="2" a="1"/>
  <c r="G38" i="2" a="1"/>
  <c r="H38" i="2" a="1"/>
  <c r="I38" i="2" a="1"/>
  <c r="G39" i="2" a="1"/>
  <c r="H39" i="2" a="1"/>
  <c r="I39" i="2" a="1"/>
  <c r="G40" i="2" a="1"/>
  <c r="H40" i="2" a="1"/>
  <c r="I40" i="2" a="1"/>
  <c r="G41" i="2" a="1"/>
  <c r="H41" i="2" a="1"/>
  <c r="I41" i="2" a="1"/>
  <c r="G42" i="2" a="1"/>
  <c r="H42" i="2" a="1"/>
  <c r="I42" i="2" a="1"/>
  <c r="G43" i="2" a="1"/>
  <c r="H43" i="2" a="1"/>
  <c r="I43" i="2" a="1"/>
  <c r="G44" i="2" a="1"/>
  <c r="H44" i="2" a="1"/>
  <c r="I44" i="2" a="1"/>
  <c r="G45" i="2" a="1"/>
  <c r="H45" i="2" a="1"/>
  <c r="I45" i="2" a="1"/>
  <c r="G46" i="2" a="1"/>
  <c r="H46" i="2" a="1"/>
  <c r="I46" i="2" a="1"/>
  <c r="G47" i="2" a="1"/>
  <c r="H47" i="2" a="1"/>
  <c r="I47" i="2" a="1"/>
  <c r="G48" i="2" a="1"/>
  <c r="H48" i="2" a="1"/>
  <c r="I48" i="2" a="1"/>
  <c r="G49" i="2" a="1"/>
  <c r="H49" i="2" a="1"/>
  <c r="I49" i="2" a="1"/>
  <c r="G50" i="2" a="1"/>
  <c r="H50" i="2" a="1"/>
  <c r="I50" i="2" a="1"/>
  <c r="G51" i="2" a="1"/>
  <c r="H51" i="2" a="1"/>
  <c r="I51" i="2" a="1"/>
  <c r="G52" i="2" a="1"/>
  <c r="H52" i="2" a="1"/>
  <c r="I52" i="2" a="1"/>
  <c r="G53" i="2" a="1"/>
  <c r="H53" i="2" a="1"/>
  <c r="I53" i="2" a="1"/>
  <c r="G54" i="2" a="1"/>
  <c r="H54" i="2" a="1"/>
  <c r="I54" i="2" a="1"/>
  <c r="G55" i="2" a="1"/>
  <c r="H55" i="2" a="1"/>
  <c r="I55" i="2" a="1"/>
  <c r="G56" i="2" a="1"/>
  <c r="H56" i="2" a="1"/>
  <c r="I56" i="2" a="1"/>
  <c r="G57" i="2" a="1"/>
  <c r="H57" i="2" a="1"/>
  <c r="I57" i="2" a="1"/>
  <c r="G58" i="2" a="1"/>
  <c r="H58" i="2" a="1"/>
  <c r="I58" i="2" a="1"/>
  <c r="G59" i="2" a="1"/>
  <c r="H59" i="2" a="1"/>
  <c r="I59" i="2" a="1"/>
  <c r="G60" i="2" a="1"/>
  <c r="H60" i="2" a="1"/>
  <c r="I60" i="2" a="1"/>
  <c r="G2" i="2" a="1"/>
  <c r="G2" i="2" s="1"/>
  <c r="H2" i="2" a="1"/>
  <c r="H2" i="2" s="1"/>
  <c r="I2" i="2" a="1"/>
  <c r="I2" i="2" s="1"/>
  <c r="G3" i="2" a="1"/>
  <c r="G3" i="2" s="1"/>
  <c r="H3" i="2" a="1"/>
  <c r="H3" i="2" s="1"/>
  <c r="I3" i="2" a="1"/>
  <c r="I3" i="2" s="1"/>
  <c r="G4" i="2" a="1"/>
  <c r="G4" i="2" s="1"/>
  <c r="H4" i="2" a="1"/>
  <c r="H4" i="2" s="1"/>
  <c r="I4" i="2" a="1"/>
  <c r="I4" i="2" s="1"/>
  <c r="G5" i="2" a="1"/>
  <c r="G5" i="2" s="1"/>
  <c r="H5" i="2" a="1"/>
  <c r="H5" i="2" s="1"/>
  <c r="I5" i="2" a="1"/>
  <c r="I5" i="2" s="1"/>
  <c r="G6" i="2" a="1"/>
  <c r="G6" i="2" s="1"/>
  <c r="H6" i="2" a="1"/>
  <c r="H6" i="2" s="1"/>
  <c r="I6" i="2" a="1"/>
  <c r="I6" i="2" s="1"/>
  <c r="G7" i="2" a="1"/>
  <c r="G7" i="2" s="1"/>
  <c r="H7" i="2" a="1"/>
  <c r="H7" i="2" s="1"/>
  <c r="I7" i="2" a="1"/>
  <c r="I7" i="2" s="1"/>
  <c r="G8" i="2" a="1"/>
  <c r="G8" i="2" s="1"/>
  <c r="H8" i="2" a="1"/>
  <c r="H8" i="2" s="1"/>
  <c r="I8" i="2" a="1"/>
  <c r="I8" i="2" s="1"/>
  <c r="G9" i="2" a="1"/>
  <c r="G9" i="2" s="1"/>
  <c r="H9" i="2" a="1"/>
  <c r="H9" i="2" s="1"/>
  <c r="I9" i="2" a="1"/>
  <c r="I9" i="2" s="1"/>
  <c r="G10" i="2" a="1"/>
  <c r="G10" i="2" s="1"/>
  <c r="H10" i="2" a="1"/>
  <c r="H10" i="2" s="1"/>
  <c r="I10" i="2" a="1"/>
  <c r="I10" i="2" s="1"/>
  <c r="G11" i="2" a="1"/>
  <c r="G11" i="2" s="1"/>
  <c r="H11" i="2" a="1"/>
  <c r="H11" i="2" s="1"/>
  <c r="I11" i="2" a="1"/>
  <c r="I11" i="2" s="1"/>
  <c r="G12" i="2" a="1"/>
  <c r="G12" i="2" s="1"/>
  <c r="H12" i="2" a="1"/>
  <c r="H12" i="2" s="1"/>
  <c r="I12" i="2" a="1"/>
  <c r="I12" i="2" s="1"/>
  <c r="G13" i="2" a="1"/>
  <c r="G13" i="2" s="1"/>
  <c r="H13" i="2" a="1"/>
  <c r="H13" i="2" s="1"/>
  <c r="I13" i="2" a="1"/>
  <c r="I13" i="2" s="1"/>
  <c r="G14" i="2" a="1"/>
  <c r="G14" i="2" s="1"/>
  <c r="H14" i="2" a="1"/>
  <c r="H14" i="2" s="1"/>
  <c r="I14" i="2" a="1"/>
  <c r="I14" i="2" s="1"/>
  <c r="G15" i="2" a="1"/>
  <c r="G15" i="2" s="1"/>
  <c r="H15" i="2" a="1"/>
  <c r="H15" i="2" s="1"/>
  <c r="I15" i="2" a="1"/>
  <c r="I15" i="2" s="1"/>
  <c r="G16" i="2" a="1"/>
  <c r="G16" i="2" s="1"/>
  <c r="H16" i="2" a="1"/>
  <c r="H16" i="2" s="1"/>
  <c r="I16" i="2" a="1"/>
  <c r="I16" i="2" s="1"/>
  <c r="G17" i="2" a="1"/>
  <c r="G17" i="2" s="1"/>
  <c r="H17" i="2" a="1"/>
  <c r="H17" i="2" s="1"/>
  <c r="I17" i="2" a="1"/>
  <c r="I17" i="2" s="1"/>
  <c r="G18" i="2" a="1"/>
  <c r="G18" i="2" s="1"/>
  <c r="H18" i="2" a="1"/>
  <c r="H18" i="2" s="1"/>
  <c r="I18" i="2" a="1"/>
  <c r="I18" i="2" s="1"/>
  <c r="G19" i="2" a="1"/>
  <c r="G19" i="2" s="1"/>
  <c r="H19" i="2" a="1"/>
  <c r="H19" i="2" s="1"/>
  <c r="I19" i="2" a="1"/>
  <c r="I19" i="2" s="1"/>
  <c r="G20" i="2" a="1"/>
  <c r="G20" i="2" s="1"/>
  <c r="H20" i="2" a="1"/>
  <c r="H20" i="2" s="1"/>
  <c r="I20" i="2" a="1"/>
  <c r="I20" i="2" s="1"/>
  <c r="H2" i="1" a="1"/>
  <c r="I2" i="1" a="1"/>
  <c r="H3" i="1" a="1"/>
  <c r="H3" i="1" s="1"/>
  <c r="I3" i="1" a="1"/>
  <c r="I3" i="1" s="1"/>
  <c r="H4" i="1" a="1"/>
  <c r="H4" i="1" s="1"/>
  <c r="I4" i="1" a="1"/>
  <c r="I4" i="1" s="1"/>
  <c r="H5" i="1" a="1"/>
  <c r="H5" i="1" s="1"/>
  <c r="I5" i="1" a="1"/>
  <c r="I5" i="1" s="1"/>
  <c r="H6" i="1" a="1"/>
  <c r="H6" i="1" s="1"/>
  <c r="I6" i="1" a="1"/>
  <c r="I6" i="1" s="1"/>
  <c r="H7" i="1" a="1"/>
  <c r="H7" i="1" s="1"/>
  <c r="I7" i="1" a="1"/>
  <c r="I7" i="1" s="1"/>
  <c r="H8" i="1" a="1"/>
  <c r="H8" i="1" s="1"/>
  <c r="I8" i="1" a="1"/>
  <c r="I8" i="1" s="1"/>
  <c r="H9" i="1" a="1"/>
  <c r="H9" i="1" s="1"/>
  <c r="I9" i="1" a="1"/>
  <c r="I9" i="1" s="1"/>
  <c r="H10" i="1" a="1"/>
  <c r="H10" i="1" s="1"/>
  <c r="I10" i="1" a="1"/>
  <c r="I10" i="1" s="1"/>
  <c r="H11" i="1" a="1"/>
  <c r="H11" i="1" s="1"/>
  <c r="I11" i="1" a="1"/>
  <c r="I11" i="1" s="1"/>
  <c r="H12" i="1" a="1"/>
  <c r="H12" i="1" s="1"/>
  <c r="I12" i="1" a="1"/>
  <c r="I12" i="1" s="1"/>
  <c r="H13" i="1" a="1"/>
  <c r="H13" i="1" s="1"/>
  <c r="I13" i="1" a="1"/>
  <c r="I13" i="1" s="1"/>
  <c r="H14" i="1" a="1"/>
  <c r="H14" i="1" s="1"/>
  <c r="I14" i="1" a="1"/>
  <c r="I14" i="1" s="1"/>
  <c r="H15" i="1" a="1"/>
  <c r="H15" i="1" s="1"/>
  <c r="I15" i="1" a="1"/>
  <c r="I15" i="1" s="1"/>
  <c r="H16" i="1" a="1"/>
  <c r="H16" i="1" s="1"/>
  <c r="I16" i="1" a="1"/>
  <c r="I16" i="1" s="1"/>
  <c r="H17" i="1" a="1"/>
  <c r="H17" i="1" s="1"/>
  <c r="I17" i="1" a="1"/>
  <c r="I17" i="1" s="1"/>
  <c r="H18" i="1" a="1"/>
  <c r="H18" i="1" s="1"/>
  <c r="I18" i="1" a="1"/>
  <c r="I18" i="1" s="1"/>
  <c r="H19" i="1" a="1"/>
  <c r="H19" i="1" s="1"/>
  <c r="I19" i="1" a="1"/>
  <c r="I19" i="1" s="1"/>
  <c r="H20" i="1" a="1"/>
  <c r="H20" i="1" s="1"/>
  <c r="I20" i="1" a="1"/>
  <c r="I20" i="1" s="1"/>
  <c r="H21" i="1" a="1"/>
  <c r="I21" i="1" a="1"/>
  <c r="G2" i="1" a="1"/>
  <c r="G3" i="1" a="1"/>
  <c r="G3" i="1" s="1"/>
  <c r="G4" i="1" a="1"/>
  <c r="G4" i="1" s="1"/>
  <c r="G5" i="1" a="1"/>
  <c r="G5" i="1" s="1"/>
  <c r="G6" i="1" a="1"/>
  <c r="G6" i="1" s="1"/>
  <c r="G7" i="1" a="1"/>
  <c r="G7" i="1" s="1"/>
  <c r="G8" i="1" a="1"/>
  <c r="G8" i="1" s="1"/>
  <c r="G9" i="1" a="1"/>
  <c r="G9" i="1" s="1"/>
  <c r="G10" i="1" a="1"/>
  <c r="G10" i="1" s="1"/>
  <c r="G11" i="1" a="1"/>
  <c r="G11" i="1" s="1"/>
  <c r="G12" i="1" a="1"/>
  <c r="G12" i="1" s="1"/>
  <c r="G13" i="1" a="1"/>
  <c r="G13" i="1" s="1"/>
  <c r="G14" i="1" a="1"/>
  <c r="G14" i="1" s="1"/>
  <c r="G15" i="1" a="1"/>
  <c r="G15" i="1" s="1"/>
  <c r="G16" i="1" a="1"/>
  <c r="G16" i="1" s="1"/>
  <c r="G17" i="1" a="1"/>
  <c r="G17" i="1" s="1"/>
  <c r="G18" i="1" a="1"/>
  <c r="G18" i="1" s="1"/>
  <c r="G19" i="1" a="1"/>
  <c r="G19" i="1" s="1"/>
  <c r="G20" i="1" a="1"/>
  <c r="G20" i="1" s="1"/>
  <c r="G21" i="1" a="1"/>
  <c r="G21" i="1" l="1"/>
  <c r="I21" i="1"/>
  <c r="H21" i="1"/>
  <c r="H2" i="1"/>
  <c r="I2" i="1"/>
  <c r="G2" i="1"/>
  <c r="F4" i="3" a="1"/>
  <c r="F4" i="3" s="1"/>
  <c r="G60" i="2"/>
  <c r="H60" i="2"/>
  <c r="I60" i="2"/>
  <c r="G21" i="2"/>
  <c r="H22" i="2"/>
  <c r="H23" i="2"/>
  <c r="H24" i="2"/>
  <c r="I25" i="2"/>
  <c r="I26" i="2"/>
  <c r="G28" i="2"/>
  <c r="I28" i="2"/>
  <c r="I30" i="2"/>
  <c r="G32" i="2"/>
  <c r="I36" i="2"/>
  <c r="H38" i="2"/>
  <c r="G40" i="2"/>
  <c r="I41" i="2"/>
  <c r="H43" i="2"/>
  <c r="I50" i="2"/>
  <c r="G53" i="2"/>
  <c r="H55" i="2"/>
  <c r="I32" i="2"/>
  <c r="G33" i="2"/>
  <c r="H33" i="2"/>
  <c r="I33" i="2"/>
  <c r="G34" i="2"/>
  <c r="H34" i="2"/>
  <c r="I34" i="2"/>
  <c r="G35" i="2"/>
  <c r="H35" i="2"/>
  <c r="G36" i="2"/>
  <c r="G38" i="2"/>
  <c r="I39" i="2"/>
  <c r="H41" i="2"/>
  <c r="I42" i="2"/>
  <c r="H49" i="2"/>
  <c r="I51" i="2"/>
  <c r="H54" i="2"/>
  <c r="H44" i="2"/>
  <c r="I44" i="2"/>
  <c r="G45" i="2"/>
  <c r="H45" i="2"/>
  <c r="I45" i="2"/>
  <c r="G46" i="2"/>
  <c r="H46" i="2"/>
  <c r="I46" i="2"/>
  <c r="G47" i="2"/>
  <c r="H47" i="2"/>
  <c r="I47" i="2"/>
  <c r="G48" i="2"/>
  <c r="H48" i="2"/>
  <c r="I48" i="2"/>
  <c r="G49" i="2"/>
  <c r="G50" i="2"/>
  <c r="I52" i="2"/>
  <c r="G55" i="2"/>
  <c r="I55" i="2"/>
  <c r="G56" i="2"/>
  <c r="H56" i="2"/>
  <c r="I56" i="2"/>
  <c r="G57" i="2"/>
  <c r="H57" i="2"/>
  <c r="I57" i="2"/>
  <c r="G58" i="2"/>
  <c r="H58" i="2"/>
  <c r="I58" i="2"/>
  <c r="G59" i="2"/>
  <c r="H59" i="2"/>
  <c r="I59" i="2"/>
  <c r="G42" i="2"/>
  <c r="G44" i="2"/>
  <c r="G51" i="2"/>
  <c r="H53" i="2"/>
  <c r="H21" i="2"/>
  <c r="G22" i="2"/>
  <c r="G23" i="2"/>
  <c r="G24" i="2"/>
  <c r="H25" i="2"/>
  <c r="H26" i="2"/>
  <c r="I27" i="2"/>
  <c r="H29" i="2"/>
  <c r="G30" i="2"/>
  <c r="H31" i="2"/>
  <c r="I35" i="2"/>
  <c r="H37" i="2"/>
  <c r="G39" i="2"/>
  <c r="I40" i="2"/>
  <c r="G43" i="2"/>
  <c r="H50" i="2"/>
  <c r="H52" i="2"/>
  <c r="I54" i="2"/>
  <c r="G25" i="2"/>
  <c r="H27" i="2"/>
  <c r="G29" i="2"/>
  <c r="H30" i="2"/>
  <c r="I31" i="2"/>
  <c r="H36" i="2"/>
  <c r="I37" i="2"/>
  <c r="H39" i="2"/>
  <c r="G41" i="2"/>
  <c r="H42" i="2"/>
  <c r="I49" i="2"/>
  <c r="G52" i="2"/>
  <c r="G54" i="2"/>
  <c r="I21" i="2"/>
  <c r="I22" i="2"/>
  <c r="I23" i="2"/>
  <c r="I24" i="2"/>
  <c r="G26" i="2"/>
  <c r="G27" i="2"/>
  <c r="H28" i="2"/>
  <c r="I29" i="2"/>
  <c r="G31" i="2"/>
  <c r="H32" i="2"/>
  <c r="G37" i="2"/>
  <c r="I38" i="2"/>
  <c r="H40" i="2"/>
  <c r="I43" i="2"/>
  <c r="H51" i="2"/>
  <c r="I53" i="2"/>
  <c r="A2" i="3" l="1" a="1"/>
  <c r="A2" i="3" s="1"/>
  <c r="F5" i="3" a="1"/>
  <c r="F5" i="3" s="1"/>
  <c r="F6" i="3" l="1" a="1"/>
  <c r="F6" i="3" s="1"/>
  <c r="F7" i="3" l="1" a="1"/>
  <c r="F7" i="3" s="1"/>
  <c r="F8" i="3" l="1" a="1"/>
  <c r="F8" i="3" s="1"/>
  <c r="F9" i="3" l="1" a="1"/>
  <c r="F9" i="3" s="1"/>
  <c r="F10" i="3" l="1" a="1"/>
  <c r="F10" i="3" s="1"/>
  <c r="F11" i="3" l="1" a="1"/>
  <c r="F11" i="3" s="1"/>
  <c r="F12" i="3" l="1" a="1"/>
  <c r="F12" i="3" s="1"/>
  <c r="F13" i="3" l="1" a="1"/>
  <c r="F13" i="3" s="1"/>
  <c r="F14" i="3" l="1" a="1"/>
  <c r="F14" i="3" s="1"/>
  <c r="F15" i="3" l="1" a="1"/>
  <c r="F15" i="3" s="1"/>
  <c r="F16" i="3" l="1" a="1"/>
  <c r="F16" i="3" s="1"/>
  <c r="F17" i="3" l="1" a="1"/>
  <c r="F17" i="3" s="1"/>
  <c r="F18" i="3" l="1" a="1"/>
  <c r="F18" i="3" s="1"/>
  <c r="F19" i="3" l="1" a="1"/>
  <c r="F19" i="3" s="1"/>
  <c r="F20" i="3" l="1" a="1"/>
  <c r="F20" i="3" s="1"/>
  <c r="F21" i="3" l="1" a="1"/>
  <c r="F21" i="3" s="1"/>
  <c r="F22" i="3" l="1" a="1"/>
  <c r="F22" i="3" s="1"/>
  <c r="F23" i="3" l="1" a="1"/>
  <c r="F23" i="3" s="1"/>
  <c r="F24" i="3" l="1" a="1"/>
  <c r="F24" i="3" s="1"/>
  <c r="F25" i="3" l="1" a="1"/>
  <c r="F25" i="3" s="1"/>
  <c r="F26" i="3" l="1" a="1"/>
  <c r="F26" i="3" s="1"/>
  <c r="F27" i="3" l="1" a="1"/>
  <c r="F27" i="3" s="1"/>
  <c r="F28" i="3" l="1" a="1"/>
  <c r="F28" i="3" s="1"/>
  <c r="F29" i="3" l="1" a="1"/>
  <c r="F29" i="3" s="1"/>
  <c r="F30" i="3" l="1" a="1"/>
  <c r="F30" i="3" s="1"/>
  <c r="F31" i="3" l="1" a="1"/>
  <c r="F31" i="3" s="1"/>
  <c r="F32" i="3" l="1" a="1"/>
  <c r="F32" i="3" s="1"/>
  <c r="F33" i="3" l="1" a="1"/>
  <c r="F33" i="3" s="1"/>
  <c r="F34" i="3" l="1" a="1"/>
  <c r="F34" i="3" s="1"/>
  <c r="F35" i="3" l="1" a="1"/>
  <c r="F35" i="3" s="1"/>
  <c r="F36" i="3" l="1" a="1"/>
  <c r="F36" i="3" s="1"/>
  <c r="F37" i="3" l="1" a="1"/>
  <c r="F37" i="3" s="1"/>
  <c r="F38" i="3" l="1" a="1"/>
  <c r="F38" i="3" s="1"/>
  <c r="F39" i="3" l="1" a="1"/>
  <c r="F39" i="3" s="1"/>
  <c r="F40" i="3" l="1" a="1"/>
  <c r="F40" i="3" s="1"/>
  <c r="F41" i="3" l="1" a="1"/>
  <c r="F41" i="3" s="1"/>
  <c r="F42" i="3" l="1" a="1"/>
  <c r="F42" i="3" s="1"/>
  <c r="F43" i="3" l="1" a="1"/>
  <c r="F43" i="3" s="1"/>
  <c r="F44" i="3" l="1" a="1"/>
  <c r="F44" i="3" s="1"/>
  <c r="F45" i="3" l="1" a="1"/>
  <c r="F45" i="3" s="1"/>
  <c r="F46" i="3" l="1" a="1"/>
  <c r="F46" i="3" s="1"/>
  <c r="F47" i="3" l="1" a="1"/>
  <c r="F47" i="3" s="1"/>
  <c r="F48" i="3" l="1" a="1"/>
  <c r="F48" i="3" s="1"/>
  <c r="F49" i="3" l="1" a="1"/>
  <c r="F49" i="3" s="1"/>
  <c r="F50" i="3" l="1" a="1"/>
  <c r="F50" i="3" s="1"/>
  <c r="F51" i="3" l="1" a="1"/>
  <c r="F51" i="3" s="1"/>
  <c r="F52" i="3" l="1" a="1"/>
  <c r="F52" i="3" s="1"/>
  <c r="F53" i="3" l="1" a="1"/>
  <c r="F53" i="3" s="1"/>
  <c r="F54" i="3" l="1" a="1"/>
  <c r="F54" i="3" s="1"/>
  <c r="F55" i="3" l="1" a="1"/>
  <c r="F55" i="3" s="1"/>
  <c r="F56" i="3" l="1" a="1"/>
  <c r="F56" i="3" s="1"/>
  <c r="F57" i="3" l="1" a="1"/>
  <c r="F57" i="3" s="1"/>
  <c r="F58" i="3" l="1" a="1"/>
  <c r="F58" i="3" s="1"/>
  <c r="F59" i="3" l="1" a="1"/>
  <c r="F59" i="3" s="1"/>
  <c r="F60" i="3" l="1" a="1"/>
  <c r="F60" i="3" s="1"/>
  <c r="F61" i="3" l="1" a="1"/>
  <c r="F61" i="3" s="1"/>
  <c r="F62" i="3" l="1" a="1"/>
  <c r="F62" i="3" s="1"/>
  <c r="F63" i="3" l="1" a="1"/>
  <c r="F63" i="3" s="1"/>
  <c r="F64" i="3" l="1" a="1"/>
  <c r="F64" i="3" s="1"/>
  <c r="F65" i="3" l="1" a="1"/>
  <c r="F65" i="3" s="1"/>
  <c r="F66" i="3" l="1" a="1"/>
  <c r="F66" i="3" s="1"/>
  <c r="F67" i="3" l="1" a="1"/>
  <c r="F67" i="3" s="1"/>
  <c r="F68" i="3" l="1" a="1"/>
  <c r="F68" i="3" s="1"/>
  <c r="F69" i="3" l="1" a="1"/>
  <c r="F69" i="3" s="1"/>
  <c r="F70" i="3" l="1" a="1"/>
  <c r="F70" i="3" s="1"/>
  <c r="F71" i="3" l="1" a="1"/>
  <c r="F71" i="3" s="1"/>
  <c r="F72" i="3" l="1" a="1"/>
  <c r="F72" i="3" s="1"/>
  <c r="F73" i="3" l="1" a="1"/>
  <c r="F73" i="3" s="1"/>
  <c r="F74" i="3" l="1" a="1"/>
  <c r="F74" i="3" s="1"/>
  <c r="F75" i="3" l="1" a="1"/>
  <c r="F75" i="3" s="1"/>
  <c r="F76" i="3" l="1" a="1"/>
  <c r="F76" i="3" s="1"/>
  <c r="F77" i="3" l="1" a="1"/>
  <c r="F77" i="3" s="1"/>
  <c r="F78" i="3" l="1" a="1"/>
  <c r="F78" i="3" s="1"/>
  <c r="F79" i="3" l="1" a="1"/>
  <c r="F79" i="3" s="1"/>
  <c r="F80" i="3" a="1"/>
  <c r="F80" i="3" s="1"/>
</calcChain>
</file>

<file path=xl/metadata.xml><?xml version="1.0" encoding="utf-8"?>
<metadata xmlns="http://schemas.openxmlformats.org/spreadsheetml/2006/main" xmlns:xda="http://schemas.microsoft.com/office/spreadsheetml/2017/dynamicarray">
  <metadataTypes count="1">
    <metadataType name="XLDAPR" minSupportedVersion="120000" copy="1" pasteAll="1" pasteValues="1" merge="1" splitFirst="1" rowColShift="1" clearFormats="1" clearComments="1" assign="1" coerce="1" cellMeta="1"/>
  </metadataTypes>
  <futureMetadata name="XLDAPR" count="1">
    <bk>
      <extLst>
        <ext uri="{bdbb8cdc-fa1e-496e-a857-3c3f30c029c3}">
          <xda:dynamicArrayProperties fDynamic="1" fCollapsed="0"/>
        </ext>
      </extLst>
    </bk>
  </futureMetadata>
  <cellMetadata count="1">
    <bk>
      <rc t="1" v="0"/>
    </bk>
  </cellMetadata>
</metadata>
</file>

<file path=xl/sharedStrings.xml><?xml version="1.0" encoding="utf-8"?>
<sst xmlns="http://schemas.openxmlformats.org/spreadsheetml/2006/main" count="23" uniqueCount="10">
  <si>
    <t>X</t>
  </si>
  <si>
    <t>Y</t>
  </si>
  <si>
    <t>Z</t>
  </si>
  <si>
    <t>Idx</t>
  </si>
  <si>
    <t>Ascending</t>
  </si>
  <si>
    <t>Descending</t>
  </si>
  <si>
    <t>Leopard Seal</t>
  </si>
  <si>
    <t>Prosqualodon_harwoodi_NMVP5532_base20points_unsorted</t>
  </si>
  <si>
    <t>Prosqualodon_harwoodi_NMVP5532_arch59points_unsorted_option2</t>
  </si>
  <si>
    <t>Prosqalodon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</si>
</sst>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7" x14ac:knownFonts="1">
    <font>
      <sz val="11"/>
      <color theme="1"/>
      <name val="Calibri"/>
      <family val="2"/>
    </font>
    <font>
      <b/>
      <sz val="11"/>
      <color theme="1"/>
      <name val="Calibri"/>
      <family val="2"/>
    </font>
    <font>
      <sz val="8"/>
      <color theme="1"/>
      <name val="Calibri"/>
      <family val="2"/>
    </font>
    <font>
      <b/>
      <i/>
      <sz val="11"/>
      <color theme="1"/>
      <name val="Calibri"/>
      <family val="2"/>
    </font>
    <font>
      <b/>
      <i/>
      <sz val="11"/>
      <color indexed="8"/>
      <name val="Calibri"/>
      <family val="2"/>
    </font>
    <font>
      <sz val="11"/>
      <color rgb="FF000000"/>
      <name val="Calibri"/>
      <family val="2"/>
    </font>
    <font>
      <b/>
      <sz val="11"/>
      <color rgb="FF000000"/>
      <name val="Calibri"/>
      <family val="2"/>
    </font>
  </fonts>
  <fills count="83">
    <fill>
      <patternFill patternType="none"/>
    </fill>
    <fill>
      <patternFill patternType="gray125"/>
    </fill>
    <fill>
      <patternFill patternType="solid">
        <fgColor rgb="FFCCFFCC"/>
        <bgColor indexed="64"/>
      </patternFill>
    </fill>
    <fill>
      <patternFill patternType="solid">
        <fgColor rgb="FFFF0101"/>
        <bgColor indexed="64"/>
      </patternFill>
    </fill>
    <fill>
      <patternFill patternType="solid">
        <fgColor rgb="FFFF4901"/>
        <bgColor indexed="64"/>
      </patternFill>
    </fill>
    <fill>
      <patternFill patternType="solid">
        <fgColor rgb="FFFF9601"/>
        <bgColor indexed="64"/>
      </patternFill>
    </fill>
    <fill>
      <patternFill patternType="solid">
        <fgColor rgb="FF01B4FF"/>
        <bgColor indexed="64"/>
      </patternFill>
    </fill>
    <fill>
      <patternFill patternType="solid">
        <fgColor rgb="FF01FFC0"/>
        <bgColor indexed="64"/>
      </patternFill>
    </fill>
    <fill>
      <patternFill patternType="solid">
        <fgColor rgb="FF01F0FF"/>
        <bgColor indexed="64"/>
      </patternFill>
    </fill>
    <fill>
      <patternFill patternType="solid">
        <fgColor rgb="FFFF3D01"/>
        <bgColor indexed="64"/>
      </patternFill>
    </fill>
    <fill>
      <patternFill patternType="solid">
        <fgColor rgb="FFFF7901"/>
        <bgColor indexed="64"/>
      </patternFill>
    </fill>
    <fill>
      <patternFill patternType="solid">
        <fgColor rgb="FFFFB401"/>
        <bgColor indexed="64"/>
      </patternFill>
    </fill>
    <fill>
      <patternFill patternType="solid">
        <fgColor rgb="FFFFF001"/>
        <bgColor indexed="64"/>
      </patternFill>
    </fill>
    <fill>
      <patternFill patternType="solid">
        <fgColor rgb="FFD2FF01"/>
        <bgColor indexed="64"/>
      </patternFill>
    </fill>
    <fill>
      <patternFill patternType="solid">
        <fgColor rgb="FF96FF01"/>
        <bgColor indexed="64"/>
      </patternFill>
    </fill>
    <fill>
      <patternFill patternType="solid">
        <fgColor rgb="FF5BFF01"/>
        <bgColor indexed="64"/>
      </patternFill>
    </fill>
    <fill>
      <patternFill patternType="solid">
        <fgColor rgb="FF1FFF01"/>
        <bgColor indexed="64"/>
      </patternFill>
    </fill>
    <fill>
      <patternFill patternType="solid">
        <fgColor rgb="FF01FF1F"/>
        <bgColor indexed="64"/>
      </patternFill>
    </fill>
    <fill>
      <patternFill patternType="solid">
        <fgColor rgb="FF01FF5B"/>
        <bgColor indexed="64"/>
      </patternFill>
    </fill>
    <fill>
      <patternFill patternType="solid">
        <fgColor rgb="FF01FF96"/>
        <bgColor indexed="64"/>
      </patternFill>
    </fill>
    <fill>
      <patternFill patternType="solid">
        <fgColor rgb="FF01FFD2"/>
        <bgColor indexed="64"/>
      </patternFill>
    </fill>
    <fill>
      <patternFill patternType="solid">
        <fgColor rgb="FF0179FF"/>
        <bgColor indexed="64"/>
      </patternFill>
    </fill>
    <fill>
      <patternFill patternType="solid">
        <fgColor rgb="FF013DFF"/>
        <bgColor indexed="64"/>
      </patternFill>
    </fill>
    <fill>
      <patternFill patternType="solid">
        <fgColor rgb="FF0101FF"/>
        <bgColor indexed="64"/>
      </patternFill>
    </fill>
    <fill>
      <patternFill patternType="solid">
        <fgColor rgb="FF3D01FF"/>
        <bgColor indexed="64"/>
      </patternFill>
    </fill>
    <fill>
      <patternFill patternType="solid">
        <fgColor rgb="FF7901FF"/>
        <bgColor indexed="64"/>
      </patternFill>
    </fill>
    <fill>
      <patternFill patternType="solid">
        <fgColor rgb="FFFFDE01"/>
        <bgColor indexed="64"/>
      </patternFill>
    </fill>
    <fill>
      <patternFill patternType="solid">
        <fgColor rgb="FFB4FF01"/>
        <bgColor indexed="64"/>
      </patternFill>
    </fill>
    <fill>
      <patternFill patternType="solid">
        <fgColor rgb="FF8AFF01"/>
        <bgColor indexed="64"/>
      </patternFill>
    </fill>
    <fill>
      <patternFill patternType="solid">
        <fgColor rgb="FF01FF2B"/>
        <bgColor indexed="64"/>
      </patternFill>
    </fill>
    <fill>
      <patternFill patternType="solid">
        <fgColor rgb="FF01FF79"/>
        <bgColor indexed="64"/>
      </patternFill>
    </fill>
    <fill>
      <patternFill patternType="solid">
        <fgColor rgb="FF01D2FF"/>
        <bgColor indexed="64"/>
      </patternFill>
    </fill>
    <fill>
      <patternFill patternType="solid">
        <fgColor rgb="FF01A8FF"/>
        <bgColor indexed="64"/>
      </patternFill>
    </fill>
    <fill>
      <patternFill patternType="solid">
        <fgColor rgb="FF0D01FF"/>
        <bgColor indexed="64"/>
      </patternFill>
    </fill>
    <fill>
      <patternFill patternType="solid">
        <fgColor rgb="FF5B01FF"/>
        <bgColor indexed="64"/>
      </patternFill>
    </fill>
    <fill>
      <patternFill patternType="solid">
        <fgColor rgb="FFFF0D01"/>
        <bgColor indexed="64"/>
      </patternFill>
    </fill>
    <fill>
      <patternFill patternType="solid">
        <fgColor rgb="FFFF1F01"/>
        <bgColor indexed="64"/>
      </patternFill>
    </fill>
    <fill>
      <patternFill patternType="solid">
        <fgColor rgb="FFFF2B01"/>
        <bgColor indexed="64"/>
      </patternFill>
    </fill>
    <fill>
      <patternFill patternType="solid">
        <fgColor rgb="FFFF5B01"/>
        <bgColor indexed="64"/>
      </patternFill>
    </fill>
    <fill>
      <patternFill patternType="solid">
        <fgColor rgb="FFFF6701"/>
        <bgColor indexed="64"/>
      </patternFill>
    </fill>
    <fill>
      <patternFill patternType="solid">
        <fgColor rgb="FFFF8401"/>
        <bgColor indexed="64"/>
      </patternFill>
    </fill>
    <fill>
      <patternFill patternType="solid">
        <fgColor rgb="FFFFA201"/>
        <bgColor indexed="64"/>
      </patternFill>
    </fill>
    <fill>
      <patternFill patternType="solid">
        <fgColor rgb="FFFFC001"/>
        <bgColor indexed="64"/>
      </patternFill>
    </fill>
    <fill>
      <patternFill patternType="solid">
        <fgColor rgb="FFFFD201"/>
        <bgColor indexed="64"/>
      </patternFill>
    </fill>
    <fill>
      <patternFill patternType="solid">
        <fgColor rgb="FFFFFC01"/>
        <bgColor indexed="64"/>
      </patternFill>
    </fill>
    <fill>
      <patternFill patternType="solid">
        <fgColor rgb="FFF0FF01"/>
        <bgColor indexed="64"/>
      </patternFill>
    </fill>
    <fill>
      <patternFill patternType="solid">
        <fgColor rgb="FFE4FF01"/>
        <bgColor indexed="64"/>
      </patternFill>
    </fill>
    <fill>
      <patternFill patternType="solid">
        <fgColor rgb="FFC6FF01"/>
        <bgColor indexed="64"/>
      </patternFill>
    </fill>
    <fill>
      <patternFill patternType="solid">
        <fgColor rgb="FFA8FF01"/>
        <bgColor indexed="64"/>
      </patternFill>
    </fill>
    <fill>
      <patternFill patternType="solid">
        <fgColor rgb="FF79FF01"/>
        <bgColor indexed="64"/>
      </patternFill>
    </fill>
    <fill>
      <patternFill patternType="solid">
        <fgColor rgb="FF6DFF01"/>
        <bgColor indexed="64"/>
      </patternFill>
    </fill>
    <fill>
      <patternFill patternType="solid">
        <fgColor rgb="FF4FFF01"/>
        <bgColor indexed="64"/>
      </patternFill>
    </fill>
    <fill>
      <patternFill patternType="solid">
        <fgColor rgb="FF3DFF01"/>
        <bgColor indexed="64"/>
      </patternFill>
    </fill>
    <fill>
      <patternFill patternType="solid">
        <fgColor rgb="FF31FF01"/>
        <bgColor indexed="64"/>
      </patternFill>
    </fill>
    <fill>
      <patternFill patternType="solid">
        <fgColor rgb="FF13FF01"/>
        <bgColor indexed="64"/>
      </patternFill>
    </fill>
    <fill>
      <patternFill patternType="solid">
        <fgColor rgb="FF01FF01"/>
        <bgColor indexed="64"/>
      </patternFill>
    </fill>
    <fill>
      <patternFill patternType="solid">
        <fgColor rgb="FF01FF0D"/>
        <bgColor indexed="64"/>
      </patternFill>
    </fill>
    <fill>
      <patternFill patternType="solid">
        <fgColor rgb="FF01FF3D"/>
        <bgColor indexed="64"/>
      </patternFill>
    </fill>
    <fill>
      <patternFill patternType="solid">
        <fgColor rgb="FF01FF49"/>
        <bgColor indexed="64"/>
      </patternFill>
    </fill>
    <fill>
      <patternFill patternType="solid">
        <fgColor rgb="FF01FF67"/>
        <bgColor indexed="64"/>
      </patternFill>
    </fill>
    <fill>
      <patternFill patternType="solid">
        <fgColor rgb="FF01FF84"/>
        <bgColor indexed="64"/>
      </patternFill>
    </fill>
    <fill>
      <patternFill patternType="solid">
        <fgColor rgb="FF01FFA2"/>
        <bgColor indexed="64"/>
      </patternFill>
    </fill>
    <fill>
      <patternFill patternType="solid">
        <fgColor rgb="FF01FFB4"/>
        <bgColor indexed="64"/>
      </patternFill>
    </fill>
    <fill>
      <patternFill patternType="solid">
        <fgColor rgb="FF01FFDE"/>
        <bgColor indexed="64"/>
      </patternFill>
    </fill>
    <fill>
      <patternFill patternType="solid">
        <fgColor rgb="FF01FFF0"/>
        <bgColor indexed="64"/>
      </patternFill>
    </fill>
    <fill>
      <patternFill patternType="solid">
        <fgColor rgb="FF01FFFC"/>
        <bgColor indexed="64"/>
      </patternFill>
    </fill>
    <fill>
      <patternFill patternType="solid">
        <fgColor rgb="FF01E4FF"/>
        <bgColor indexed="64"/>
      </patternFill>
    </fill>
    <fill>
      <patternFill patternType="solid">
        <fgColor rgb="FF01C6FF"/>
        <bgColor indexed="64"/>
      </patternFill>
    </fill>
    <fill>
      <patternFill patternType="solid">
        <fgColor rgb="FF0196FF"/>
        <bgColor indexed="64"/>
      </patternFill>
    </fill>
    <fill>
      <patternFill patternType="solid">
        <fgColor rgb="FF018AFF"/>
        <bgColor indexed="64"/>
      </patternFill>
    </fill>
    <fill>
      <patternFill patternType="solid">
        <fgColor rgb="FF016DFF"/>
        <bgColor indexed="64"/>
      </patternFill>
    </fill>
    <fill>
      <patternFill patternType="solid">
        <fgColor rgb="FF015BFF"/>
        <bgColor indexed="64"/>
      </patternFill>
    </fill>
    <fill>
      <patternFill patternType="solid">
        <fgColor rgb="FF014FFF"/>
        <bgColor indexed="64"/>
      </patternFill>
    </fill>
    <fill>
      <patternFill patternType="solid">
        <fgColor rgb="FF0131FF"/>
        <bgColor indexed="64"/>
      </patternFill>
    </fill>
    <fill>
      <patternFill patternType="solid">
        <fgColor rgb="FF011FFF"/>
        <bgColor indexed="64"/>
      </patternFill>
    </fill>
    <fill>
      <patternFill patternType="solid">
        <fgColor rgb="FF0113FF"/>
        <bgColor indexed="64"/>
      </patternFill>
    </fill>
    <fill>
      <patternFill patternType="solid">
        <fgColor rgb="FF1F01FF"/>
        <bgColor indexed="64"/>
      </patternFill>
    </fill>
    <fill>
      <patternFill patternType="solid">
        <fgColor rgb="FF2B01FF"/>
        <bgColor indexed="64"/>
      </patternFill>
    </fill>
    <fill>
      <patternFill patternType="solid">
        <fgColor rgb="FF4901FF"/>
        <bgColor indexed="64"/>
      </patternFill>
    </fill>
    <fill>
      <patternFill patternType="solid">
        <fgColor rgb="FF6701FF"/>
        <bgColor indexed="64"/>
      </patternFill>
    </fill>
    <fill>
      <patternFill patternType="solid">
        <fgColor rgb="FF8401FF"/>
        <bgColor indexed="64"/>
      </patternFill>
    </fill>
    <fill>
      <patternFill patternType="solid">
        <fgColor rgb="FF9601FF"/>
        <bgColor indexed="64"/>
      </patternFill>
    </fill>
    <fill>
      <patternFill patternType="solid">
        <fgColor theme="7" tint="0.79998168889431442"/>
        <bgColor indexed="64"/>
      </patternFill>
    </fill>
  </fills>
  <borders count="1">
    <border>
      <left/>
      <right/>
      <top/>
      <bottom/>
      <diagonal/>
    </border>
  </borders>
  <cellStyleXfs count="1">
    <xf numFmtId="0" fontId="0" fillId="0" borderId="0"/>
  </cellStyleXfs>
  <cellXfs count="85">
    <xf numFmtId="0" fontId="0" fillId="0" borderId="0" xfId="0"/>
    <xf numFmtId="0" fontId="1" fillId="2" borderId="0" xfId="0" applyFont="1" applyFill="1" applyAlignment="1">
      <alignment horizontal="center"/>
    </xf>
    <xf numFmtId="0" fontId="0" fillId="0" borderId="0" xfId="0" applyAlignment="1">
      <alignment horizontal="center"/>
    </xf>
    <xf numFmtId="0" fontId="0" fillId="3" borderId="0" xfId="0" applyFill="1"/>
    <xf numFmtId="0" fontId="0" fillId="4" borderId="0" xfId="0" applyFill="1"/>
    <xf numFmtId="0" fontId="0" fillId="5" borderId="0" xfId="0" applyFill="1"/>
    <xf numFmtId="0" fontId="0" fillId="6" borderId="0" xfId="0" applyFill="1"/>
    <xf numFmtId="0" fontId="0" fillId="7" borderId="0" xfId="0" applyFill="1"/>
    <xf numFmtId="0" fontId="0" fillId="8" borderId="0" xfId="0" applyFill="1"/>
    <xf numFmtId="0" fontId="0" fillId="9" borderId="0" xfId="0" applyFill="1"/>
    <xf numFmtId="0" fontId="0" fillId="10" borderId="0" xfId="0" applyFill="1"/>
    <xf numFmtId="0" fontId="0" fillId="11" borderId="0" xfId="0" applyFill="1"/>
    <xf numFmtId="0" fontId="0" fillId="12" borderId="0" xfId="0" applyFill="1"/>
    <xf numFmtId="0" fontId="0" fillId="13" borderId="0" xfId="0" applyFill="1"/>
    <xf numFmtId="0" fontId="0" fillId="14" borderId="0" xfId="0" applyFill="1"/>
    <xf numFmtId="0" fontId="0" fillId="15" borderId="0" xfId="0" applyFill="1"/>
    <xf numFmtId="0" fontId="0" fillId="16" borderId="0" xfId="0" applyFill="1"/>
    <xf numFmtId="0" fontId="0" fillId="17" borderId="0" xfId="0" applyFill="1"/>
    <xf numFmtId="0" fontId="0" fillId="18" borderId="0" xfId="0" applyFill="1"/>
    <xf numFmtId="0" fontId="0" fillId="19" borderId="0" xfId="0" applyFill="1"/>
    <xf numFmtId="0" fontId="0" fillId="20" borderId="0" xfId="0" applyFill="1"/>
    <xf numFmtId="0" fontId="0" fillId="21" borderId="0" xfId="0" applyFill="1"/>
    <xf numFmtId="0" fontId="0" fillId="22" borderId="0" xfId="0" applyFill="1"/>
    <xf numFmtId="0" fontId="0" fillId="23" borderId="0" xfId="0" applyFill="1"/>
    <xf numFmtId="0" fontId="0" fillId="24" borderId="0" xfId="0" applyFill="1"/>
    <xf numFmtId="0" fontId="0" fillId="25" borderId="0" xfId="0" applyFill="1"/>
    <xf numFmtId="0" fontId="0" fillId="26" borderId="0" xfId="0" applyFill="1"/>
    <xf numFmtId="0" fontId="0" fillId="27" borderId="0" xfId="0" applyFill="1"/>
    <xf numFmtId="0" fontId="0" fillId="28" borderId="0" xfId="0" applyFill="1"/>
    <xf numFmtId="0" fontId="0" fillId="29" borderId="0" xfId="0" applyFill="1"/>
    <xf numFmtId="0" fontId="0" fillId="30" borderId="0" xfId="0" applyFill="1"/>
    <xf numFmtId="0" fontId="0" fillId="31" borderId="0" xfId="0" applyFill="1"/>
    <xf numFmtId="0" fontId="0" fillId="32" borderId="0" xfId="0" applyFill="1"/>
    <xf numFmtId="0" fontId="0" fillId="33" borderId="0" xfId="0" applyFill="1"/>
    <xf numFmtId="0" fontId="0" fillId="34" borderId="0" xfId="0" applyFill="1"/>
    <xf numFmtId="0" fontId="0" fillId="35" borderId="0" xfId="0" applyFill="1"/>
    <xf numFmtId="0" fontId="0" fillId="36" borderId="0" xfId="0" applyFill="1"/>
    <xf numFmtId="0" fontId="0" fillId="37" borderId="0" xfId="0" applyFill="1"/>
    <xf numFmtId="0" fontId="0" fillId="38" borderId="0" xfId="0" applyFill="1"/>
    <xf numFmtId="0" fontId="0" fillId="39" borderId="0" xfId="0" applyFill="1"/>
    <xf numFmtId="0" fontId="0" fillId="40" borderId="0" xfId="0" applyFill="1"/>
    <xf numFmtId="0" fontId="0" fillId="41" borderId="0" xfId="0" applyFill="1"/>
    <xf numFmtId="0" fontId="0" fillId="42" borderId="0" xfId="0" applyFill="1"/>
    <xf numFmtId="0" fontId="0" fillId="43" borderId="0" xfId="0" applyFill="1"/>
    <xf numFmtId="0" fontId="0" fillId="44" borderId="0" xfId="0" applyFill="1"/>
    <xf numFmtId="0" fontId="0" fillId="45" borderId="0" xfId="0" applyFill="1"/>
    <xf numFmtId="0" fontId="0" fillId="46" borderId="0" xfId="0" applyFill="1"/>
    <xf numFmtId="0" fontId="0" fillId="47" borderId="0" xfId="0" applyFill="1"/>
    <xf numFmtId="0" fontId="0" fillId="48" borderId="0" xfId="0" applyFill="1"/>
    <xf numFmtId="0" fontId="0" fillId="49" borderId="0" xfId="0" applyFill="1"/>
    <xf numFmtId="0" fontId="0" fillId="50" borderId="0" xfId="0" applyFill="1"/>
    <xf numFmtId="0" fontId="0" fillId="51" borderId="0" xfId="0" applyFill="1"/>
    <xf numFmtId="0" fontId="0" fillId="52" borderId="0" xfId="0" applyFill="1"/>
    <xf numFmtId="0" fontId="0" fillId="53" borderId="0" xfId="0" applyFill="1"/>
    <xf numFmtId="0" fontId="0" fillId="54" borderId="0" xfId="0" applyFill="1"/>
    <xf numFmtId="0" fontId="0" fillId="55" borderId="0" xfId="0" applyFill="1"/>
    <xf numFmtId="0" fontId="0" fillId="56" borderId="0" xfId="0" applyFill="1"/>
    <xf numFmtId="0" fontId="0" fillId="57" borderId="0" xfId="0" applyFill="1"/>
    <xf numFmtId="0" fontId="0" fillId="58" borderId="0" xfId="0" applyFill="1"/>
    <xf numFmtId="0" fontId="0" fillId="59" borderId="0" xfId="0" applyFill="1"/>
    <xf numFmtId="0" fontId="0" fillId="60" borderId="0" xfId="0" applyFill="1"/>
    <xf numFmtId="0" fontId="0" fillId="61" borderId="0" xfId="0" applyFill="1"/>
    <xf numFmtId="0" fontId="0" fillId="62" borderId="0" xfId="0" applyFill="1"/>
    <xf numFmtId="0" fontId="0" fillId="63" borderId="0" xfId="0" applyFill="1"/>
    <xf numFmtId="0" fontId="0" fillId="64" borderId="0" xfId="0" applyFill="1"/>
    <xf numFmtId="0" fontId="0" fillId="65" borderId="0" xfId="0" applyFill="1"/>
    <xf numFmtId="0" fontId="0" fillId="66" borderId="0" xfId="0" applyFill="1"/>
    <xf numFmtId="0" fontId="0" fillId="67" borderId="0" xfId="0" applyFill="1"/>
    <xf numFmtId="0" fontId="0" fillId="68" borderId="0" xfId="0" applyFill="1"/>
    <xf numFmtId="0" fontId="0" fillId="69" borderId="0" xfId="0" applyFill="1"/>
    <xf numFmtId="0" fontId="0" fillId="70" borderId="0" xfId="0" applyFill="1"/>
    <xf numFmtId="0" fontId="0" fillId="71" borderId="0" xfId="0" applyFill="1"/>
    <xf numFmtId="0" fontId="0" fillId="72" borderId="0" xfId="0" applyFill="1"/>
    <xf numFmtId="0" fontId="0" fillId="73" borderId="0" xfId="0" applyFill="1"/>
    <xf numFmtId="0" fontId="0" fillId="74" borderId="0" xfId="0" applyFill="1"/>
    <xf numFmtId="0" fontId="0" fillId="75" borderId="0" xfId="0" applyFill="1"/>
    <xf numFmtId="0" fontId="0" fillId="76" borderId="0" xfId="0" applyFill="1"/>
    <xf numFmtId="0" fontId="0" fillId="77" borderId="0" xfId="0" applyFill="1"/>
    <xf numFmtId="0" fontId="0" fillId="78" borderId="0" xfId="0" applyFill="1"/>
    <xf numFmtId="0" fontId="0" fillId="79" borderId="0" xfId="0" applyFill="1"/>
    <xf numFmtId="0" fontId="0" fillId="80" borderId="0" xfId="0" applyFill="1"/>
    <xf numFmtId="0" fontId="0" fillId="81" borderId="0" xfId="0" applyFill="1"/>
    <xf numFmtId="0" fontId="2" fillId="0" borderId="0" xfId="0" applyFont="1" applyAlignment="1">
      <alignment horizontal="center"/>
    </xf>
    <xf numFmtId="0" fontId="3" fillId="82" borderId="0" xfId="0" applyFont="1" applyFill="1"/>
    <xf numFmtId="0" fontId="4" fillId="82" borderId="0" xfId="0" applyFont="1" applyFill="1"/>
  </cellXfs>
  <cellStyles count="1">
    <cellStyle name="Normal" xfId="0" builtinId="0"/>
  </cellStyles>
  <dxfs count="10"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</dxfs>
  <tableStyles count="0" defaultTableStyle="TableStyleMedium2" defaultPivotStyle="PivotStyleLight16"/>
  <colors>
    <mruColors>
      <color rgb="FFE4FF01"/>
      <color rgb="FFFF0101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calcChain" Target="calcChain.xml"/><Relationship Id="rId3" Type="http://schemas.openxmlformats.org/officeDocument/2006/relationships/worksheet" Target="worksheets/sheet3.xml"/><Relationship Id="rId7" Type="http://schemas.openxmlformats.org/officeDocument/2006/relationships/sheetMetadata" Target="metadata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haredStrings" Target="sharedStrings.xml"/><Relationship Id="rId5" Type="http://schemas.openxmlformats.org/officeDocument/2006/relationships/styles" Target="styles.xml"/><Relationship Id="rId10" Type="http://schemas.microsoft.com/office/2006/relationships/vbaProject" Target="vbaProject.bin"/><Relationship Id="rId4" Type="http://schemas.openxmlformats.org/officeDocument/2006/relationships/theme" Target="theme/theme1.xml"/><Relationship Id="rId9" Type="http://schemas.openxmlformats.org/officeDocument/2006/relationships/customXml" Target="../customXml/item1.xml"/></Relationships>
</file>

<file path=xl/charts/_rels/chart1.xml.rels><?xml version="1.0" encoding="UTF-8" standalone="yes"?>
<Relationships xmlns="http://schemas.openxmlformats.org/package/2006/relationships"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_rels/chart2.xml.rels><?xml version="1.0" encoding="UTF-8" standalone="yes"?>
<Relationships xmlns="http://schemas.openxmlformats.org/package/2006/relationships"><Relationship Id="rId2" Type="http://schemas.microsoft.com/office/2011/relationships/chartColorStyle" Target="colors2.xml"/><Relationship Id="rId1" Type="http://schemas.microsoft.com/office/2011/relationships/chartStyle" Target="style2.xml"/></Relationships>
</file>

<file path=xl/charts/_rels/chart3.xml.rels><?xml version="1.0" encoding="UTF-8" standalone="yes"?>
<Relationships xmlns="http://schemas.openxmlformats.org/package/2006/relationships"><Relationship Id="rId2" Type="http://schemas.microsoft.com/office/2011/relationships/chartColorStyle" Target="colors3.xml"/><Relationship Id="rId1" Type="http://schemas.microsoft.com/office/2011/relationships/chartStyle" Target="style3.xml"/></Relationships>
</file>

<file path=xl/charts/_rels/chart4.xml.rels><?xml version="1.0" encoding="UTF-8" standalone="yes"?>
<Relationships xmlns="http://schemas.openxmlformats.org/package/2006/relationships"><Relationship Id="rId2" Type="http://schemas.microsoft.com/office/2011/relationships/chartColorStyle" Target="colors4.xml"/><Relationship Id="rId1" Type="http://schemas.microsoft.com/office/2011/relationships/chartStyle" Target="style4.xml"/></Relationships>
</file>

<file path=xl/charts/_rels/chart5.xml.rels><?xml version="1.0" encoding="UTF-8" standalone="yes"?>
<Relationships xmlns="http://schemas.openxmlformats.org/package/2006/relationships"><Relationship Id="rId2" Type="http://schemas.microsoft.com/office/2011/relationships/chartColorStyle" Target="colors5.xml"/><Relationship Id="rId1" Type="http://schemas.microsoft.com/office/2011/relationships/chartStyle" Target="style5.xml"/></Relationships>
</file>

<file path=xl/charts/_rels/chart7.xml.rels><?xml version="1.0" encoding="UTF-8" standalone="yes"?>
<Relationships xmlns="http://schemas.openxmlformats.org/package/2006/relationships"><Relationship Id="rId2" Type="http://schemas.microsoft.com/office/2011/relationships/chartColorStyle" Target="colors6.xml"/><Relationship Id="rId1" Type="http://schemas.microsoft.com/office/2011/relationships/chartStyle" Target="style6.xml"/></Relationships>
</file>

<file path=xl/charts/_rels/chart8.xml.rels><?xml version="1.0" encoding="UTF-8" standalone="yes"?>
<Relationships xmlns="http://schemas.openxmlformats.org/package/2006/relationships"><Relationship Id="rId2" Type="http://schemas.microsoft.com/office/2011/relationships/chartColorStyle" Target="colors7.xml"/><Relationship Id="rId1" Type="http://schemas.microsoft.com/office/2011/relationships/chartStyle" Target="style7.xml"/></Relationships>
</file>

<file path=xl/charts/_rels/chart9.xml.rels><?xml version="1.0" encoding="UTF-8" standalone="yes"?>
<Relationships xmlns="http://schemas.openxmlformats.org/package/2006/relationships"><Relationship Id="rId2" Type="http://schemas.microsoft.com/office/2011/relationships/chartColorStyle" Target="colors8.xml"/><Relationship Id="rId1" Type="http://schemas.microsoft.com/office/2011/relationships/chartStyle" Target="style8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scatterChart>
        <c:scatterStyle val="smoothMarker"/>
        <c:varyColors val="0"/>
        <c:ser>
          <c:idx val="0"/>
          <c:order val="0"/>
          <c:tx>
            <c:strRef>
              <c:f>Base!$H$1</c:f>
              <c:strCache>
                <c:ptCount val="1"/>
                <c:pt idx="0">
                  <c:v>Y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10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dPt>
            <c:idx val="0"/>
            <c:marker>
              <c:symbol val="circle"/>
              <c:size val="10"/>
              <c:spPr>
                <a:solidFill>
                  <a:srgbClr val="FF0101"/>
                </a:solidFill>
                <a:ln w="9525">
                  <a:solidFill>
                    <a:schemeClr val="accent1"/>
                  </a:solidFill>
                </a:ln>
                <a:effectLst/>
              </c:spPr>
            </c:marker>
            <c:bubble3D val="0"/>
            <c:extLst>
              <c:ext xmlns:c16="http://schemas.microsoft.com/office/drawing/2014/chart" uri="{C3380CC4-5D6E-409C-BE32-E72D297353CC}">
                <c16:uniqueId val="{00000001-8B77-4C94-A359-F5F0F12AA60A}"/>
              </c:ext>
            </c:extLst>
          </c:dPt>
          <c:dPt>
            <c:idx val="1"/>
            <c:marker>
              <c:symbol val="circle"/>
              <c:size val="10"/>
              <c:spPr>
                <a:solidFill>
                  <a:srgbClr val="FF0D01"/>
                </a:solidFill>
                <a:ln w="9525">
                  <a:solidFill>
                    <a:schemeClr val="accent1"/>
                  </a:solidFill>
                </a:ln>
                <a:effectLst/>
              </c:spPr>
            </c:marker>
            <c:bubble3D val="0"/>
            <c:extLst>
              <c:ext xmlns:c16="http://schemas.microsoft.com/office/drawing/2014/chart" uri="{C3380CC4-5D6E-409C-BE32-E72D297353CC}">
                <c16:uniqueId val="{00000002-8B77-4C94-A359-F5F0F12AA60A}"/>
              </c:ext>
            </c:extLst>
          </c:dPt>
          <c:dPt>
            <c:idx val="2"/>
            <c:marker>
              <c:symbol val="circle"/>
              <c:size val="10"/>
              <c:spPr>
                <a:solidFill>
                  <a:srgbClr val="FF1F01"/>
                </a:solidFill>
                <a:ln w="9525">
                  <a:solidFill>
                    <a:schemeClr val="accent1"/>
                  </a:solidFill>
                </a:ln>
                <a:effectLst/>
              </c:spPr>
            </c:marker>
            <c:bubble3D val="0"/>
            <c:extLst>
              <c:ext xmlns:c16="http://schemas.microsoft.com/office/drawing/2014/chart" uri="{C3380CC4-5D6E-409C-BE32-E72D297353CC}">
                <c16:uniqueId val="{00000003-8B77-4C94-A359-F5F0F12AA60A}"/>
              </c:ext>
            </c:extLst>
          </c:dPt>
          <c:dPt>
            <c:idx val="3"/>
            <c:marker>
              <c:symbol val="circle"/>
              <c:size val="10"/>
              <c:spPr>
                <a:solidFill>
                  <a:srgbClr val="FF2B01"/>
                </a:solidFill>
                <a:ln w="9525">
                  <a:solidFill>
                    <a:schemeClr val="accent1"/>
                  </a:solidFill>
                </a:ln>
                <a:effectLst/>
              </c:spPr>
            </c:marker>
            <c:bubble3D val="0"/>
            <c:extLst>
              <c:ext xmlns:c16="http://schemas.microsoft.com/office/drawing/2014/chart" uri="{C3380CC4-5D6E-409C-BE32-E72D297353CC}">
                <c16:uniqueId val="{00000004-8B77-4C94-A359-F5F0F12AA60A}"/>
              </c:ext>
            </c:extLst>
          </c:dPt>
          <c:dPt>
            <c:idx val="4"/>
            <c:marker>
              <c:symbol val="circle"/>
              <c:size val="10"/>
              <c:spPr>
                <a:solidFill>
                  <a:srgbClr val="FF3D01"/>
                </a:solidFill>
                <a:ln w="9525">
                  <a:solidFill>
                    <a:schemeClr val="accent1"/>
                  </a:solidFill>
                </a:ln>
                <a:effectLst/>
              </c:spPr>
            </c:marker>
            <c:bubble3D val="0"/>
            <c:extLst>
              <c:ext xmlns:c16="http://schemas.microsoft.com/office/drawing/2014/chart" uri="{C3380CC4-5D6E-409C-BE32-E72D297353CC}">
                <c16:uniqueId val="{00000005-8B77-4C94-A359-F5F0F12AA60A}"/>
              </c:ext>
            </c:extLst>
          </c:dPt>
          <c:dPt>
            <c:idx val="5"/>
            <c:marker>
              <c:symbol val="circle"/>
              <c:size val="10"/>
              <c:spPr>
                <a:solidFill>
                  <a:srgbClr val="FF4901"/>
                </a:solidFill>
                <a:ln w="9525">
                  <a:solidFill>
                    <a:schemeClr val="accent1"/>
                  </a:solidFill>
                </a:ln>
                <a:effectLst/>
              </c:spPr>
            </c:marker>
            <c:bubble3D val="0"/>
            <c:extLst>
              <c:ext xmlns:c16="http://schemas.microsoft.com/office/drawing/2014/chart" uri="{C3380CC4-5D6E-409C-BE32-E72D297353CC}">
                <c16:uniqueId val="{00000006-8B77-4C94-A359-F5F0F12AA60A}"/>
              </c:ext>
            </c:extLst>
          </c:dPt>
          <c:dPt>
            <c:idx val="6"/>
            <c:marker>
              <c:symbol val="circle"/>
              <c:size val="10"/>
              <c:spPr>
                <a:solidFill>
                  <a:srgbClr val="FF5B01"/>
                </a:solidFill>
                <a:ln w="9525">
                  <a:solidFill>
                    <a:schemeClr val="accent1"/>
                  </a:solidFill>
                </a:ln>
                <a:effectLst/>
              </c:spPr>
            </c:marker>
            <c:bubble3D val="0"/>
            <c:extLst>
              <c:ext xmlns:c16="http://schemas.microsoft.com/office/drawing/2014/chart" uri="{C3380CC4-5D6E-409C-BE32-E72D297353CC}">
                <c16:uniqueId val="{00000007-8B77-4C94-A359-F5F0F12AA60A}"/>
              </c:ext>
            </c:extLst>
          </c:dPt>
          <c:dPt>
            <c:idx val="7"/>
            <c:marker>
              <c:symbol val="circle"/>
              <c:size val="10"/>
              <c:spPr>
                <a:solidFill>
                  <a:srgbClr val="FF6701"/>
                </a:solidFill>
                <a:ln w="9525">
                  <a:solidFill>
                    <a:schemeClr val="accent1"/>
                  </a:solidFill>
                </a:ln>
                <a:effectLst/>
              </c:spPr>
            </c:marker>
            <c:bubble3D val="0"/>
            <c:extLst>
              <c:ext xmlns:c16="http://schemas.microsoft.com/office/drawing/2014/chart" uri="{C3380CC4-5D6E-409C-BE32-E72D297353CC}">
                <c16:uniqueId val="{00000008-8B77-4C94-A359-F5F0F12AA60A}"/>
              </c:ext>
            </c:extLst>
          </c:dPt>
          <c:dPt>
            <c:idx val="8"/>
            <c:marker>
              <c:symbol val="circle"/>
              <c:size val="10"/>
              <c:spPr>
                <a:solidFill>
                  <a:srgbClr val="FF7901"/>
                </a:solidFill>
                <a:ln w="9525">
                  <a:solidFill>
                    <a:schemeClr val="accent1"/>
                  </a:solidFill>
                </a:ln>
                <a:effectLst/>
              </c:spPr>
            </c:marker>
            <c:bubble3D val="0"/>
            <c:extLst>
              <c:ext xmlns:c16="http://schemas.microsoft.com/office/drawing/2014/chart" uri="{C3380CC4-5D6E-409C-BE32-E72D297353CC}">
                <c16:uniqueId val="{00000009-8B77-4C94-A359-F5F0F12AA60A}"/>
              </c:ext>
            </c:extLst>
          </c:dPt>
          <c:dPt>
            <c:idx val="9"/>
            <c:marker>
              <c:symbol val="circle"/>
              <c:size val="10"/>
              <c:spPr>
                <a:solidFill>
                  <a:srgbClr val="FF8401"/>
                </a:solidFill>
                <a:ln w="9525">
                  <a:solidFill>
                    <a:schemeClr val="accent1"/>
                  </a:solidFill>
                </a:ln>
                <a:effectLst/>
              </c:spPr>
            </c:marker>
            <c:bubble3D val="0"/>
            <c:extLst>
              <c:ext xmlns:c16="http://schemas.microsoft.com/office/drawing/2014/chart" uri="{C3380CC4-5D6E-409C-BE32-E72D297353CC}">
                <c16:uniqueId val="{0000000A-8B77-4C94-A359-F5F0F12AA60A}"/>
              </c:ext>
            </c:extLst>
          </c:dPt>
          <c:dPt>
            <c:idx val="10"/>
            <c:marker>
              <c:symbol val="circle"/>
              <c:size val="10"/>
              <c:spPr>
                <a:solidFill>
                  <a:srgbClr val="FF9601"/>
                </a:solidFill>
                <a:ln w="9525">
                  <a:solidFill>
                    <a:schemeClr val="accent1"/>
                  </a:solidFill>
                </a:ln>
                <a:effectLst/>
              </c:spPr>
            </c:marker>
            <c:bubble3D val="0"/>
            <c:extLst>
              <c:ext xmlns:c16="http://schemas.microsoft.com/office/drawing/2014/chart" uri="{C3380CC4-5D6E-409C-BE32-E72D297353CC}">
                <c16:uniqueId val="{0000000B-8B77-4C94-A359-F5F0F12AA60A}"/>
              </c:ext>
            </c:extLst>
          </c:dPt>
          <c:dPt>
            <c:idx val="11"/>
            <c:marker>
              <c:symbol val="circle"/>
              <c:size val="10"/>
              <c:spPr>
                <a:solidFill>
                  <a:srgbClr val="FFA201"/>
                </a:solidFill>
                <a:ln w="9525">
                  <a:solidFill>
                    <a:schemeClr val="accent1"/>
                  </a:solidFill>
                </a:ln>
                <a:effectLst/>
              </c:spPr>
            </c:marker>
            <c:bubble3D val="0"/>
            <c:extLst>
              <c:ext xmlns:c16="http://schemas.microsoft.com/office/drawing/2014/chart" uri="{C3380CC4-5D6E-409C-BE32-E72D297353CC}">
                <c16:uniqueId val="{0000000C-8B77-4C94-A359-F5F0F12AA60A}"/>
              </c:ext>
            </c:extLst>
          </c:dPt>
          <c:dPt>
            <c:idx val="12"/>
            <c:marker>
              <c:symbol val="circle"/>
              <c:size val="10"/>
              <c:spPr>
                <a:solidFill>
                  <a:srgbClr val="FFB401"/>
                </a:solidFill>
                <a:ln w="9525">
                  <a:solidFill>
                    <a:schemeClr val="accent1"/>
                  </a:solidFill>
                </a:ln>
                <a:effectLst/>
              </c:spPr>
            </c:marker>
            <c:bubble3D val="0"/>
            <c:extLst>
              <c:ext xmlns:c16="http://schemas.microsoft.com/office/drawing/2014/chart" uri="{C3380CC4-5D6E-409C-BE32-E72D297353CC}">
                <c16:uniqueId val="{0000000D-8B77-4C94-A359-F5F0F12AA60A}"/>
              </c:ext>
            </c:extLst>
          </c:dPt>
          <c:dPt>
            <c:idx val="13"/>
            <c:marker>
              <c:symbol val="circle"/>
              <c:size val="10"/>
              <c:spPr>
                <a:solidFill>
                  <a:srgbClr val="FFC001"/>
                </a:solidFill>
                <a:ln w="9525">
                  <a:solidFill>
                    <a:schemeClr val="accent1"/>
                  </a:solidFill>
                </a:ln>
                <a:effectLst/>
              </c:spPr>
            </c:marker>
            <c:bubble3D val="0"/>
            <c:extLst>
              <c:ext xmlns:c16="http://schemas.microsoft.com/office/drawing/2014/chart" uri="{C3380CC4-5D6E-409C-BE32-E72D297353CC}">
                <c16:uniqueId val="{0000000E-8B77-4C94-A359-F5F0F12AA60A}"/>
              </c:ext>
            </c:extLst>
          </c:dPt>
          <c:dPt>
            <c:idx val="14"/>
            <c:marker>
              <c:symbol val="circle"/>
              <c:size val="10"/>
              <c:spPr>
                <a:solidFill>
                  <a:srgbClr val="FFD201"/>
                </a:solidFill>
                <a:ln w="9525">
                  <a:solidFill>
                    <a:schemeClr val="accent1"/>
                  </a:solidFill>
                </a:ln>
                <a:effectLst/>
              </c:spPr>
            </c:marker>
            <c:bubble3D val="0"/>
            <c:extLst>
              <c:ext xmlns:c16="http://schemas.microsoft.com/office/drawing/2014/chart" uri="{C3380CC4-5D6E-409C-BE32-E72D297353CC}">
                <c16:uniqueId val="{0000000F-8B77-4C94-A359-F5F0F12AA60A}"/>
              </c:ext>
            </c:extLst>
          </c:dPt>
          <c:dPt>
            <c:idx val="15"/>
            <c:marker>
              <c:symbol val="circle"/>
              <c:size val="10"/>
              <c:spPr>
                <a:solidFill>
                  <a:srgbClr val="FFDE01"/>
                </a:solidFill>
                <a:ln w="9525">
                  <a:solidFill>
                    <a:schemeClr val="accent1"/>
                  </a:solidFill>
                </a:ln>
                <a:effectLst/>
              </c:spPr>
            </c:marker>
            <c:bubble3D val="0"/>
            <c:extLst>
              <c:ext xmlns:c16="http://schemas.microsoft.com/office/drawing/2014/chart" uri="{C3380CC4-5D6E-409C-BE32-E72D297353CC}">
                <c16:uniqueId val="{00000010-8B77-4C94-A359-F5F0F12AA60A}"/>
              </c:ext>
            </c:extLst>
          </c:dPt>
          <c:dPt>
            <c:idx val="16"/>
            <c:marker>
              <c:symbol val="circle"/>
              <c:size val="10"/>
              <c:spPr>
                <a:solidFill>
                  <a:srgbClr val="FFF001"/>
                </a:solidFill>
                <a:ln w="9525">
                  <a:solidFill>
                    <a:schemeClr val="accent1"/>
                  </a:solidFill>
                </a:ln>
                <a:effectLst/>
              </c:spPr>
            </c:marker>
            <c:bubble3D val="0"/>
            <c:extLst>
              <c:ext xmlns:c16="http://schemas.microsoft.com/office/drawing/2014/chart" uri="{C3380CC4-5D6E-409C-BE32-E72D297353CC}">
                <c16:uniqueId val="{00000011-8B77-4C94-A359-F5F0F12AA60A}"/>
              </c:ext>
            </c:extLst>
          </c:dPt>
          <c:dPt>
            <c:idx val="17"/>
            <c:marker>
              <c:symbol val="circle"/>
              <c:size val="10"/>
              <c:spPr>
                <a:solidFill>
                  <a:srgbClr val="FFFC01"/>
                </a:solidFill>
                <a:ln w="9525">
                  <a:solidFill>
                    <a:schemeClr val="accent1"/>
                  </a:solidFill>
                </a:ln>
                <a:effectLst/>
              </c:spPr>
            </c:marker>
            <c:bubble3D val="0"/>
            <c:extLst>
              <c:ext xmlns:c16="http://schemas.microsoft.com/office/drawing/2014/chart" uri="{C3380CC4-5D6E-409C-BE32-E72D297353CC}">
                <c16:uniqueId val="{00000012-8B77-4C94-A359-F5F0F12AA60A}"/>
              </c:ext>
            </c:extLst>
          </c:dPt>
          <c:dPt>
            <c:idx val="18"/>
            <c:marker>
              <c:symbol val="circle"/>
              <c:size val="10"/>
              <c:spPr>
                <a:solidFill>
                  <a:srgbClr val="F0FF01"/>
                </a:solidFill>
                <a:ln w="9525">
                  <a:solidFill>
                    <a:schemeClr val="accent1"/>
                  </a:solidFill>
                </a:ln>
                <a:effectLst/>
              </c:spPr>
            </c:marker>
            <c:bubble3D val="0"/>
            <c:extLst>
              <c:ext xmlns:c16="http://schemas.microsoft.com/office/drawing/2014/chart" uri="{C3380CC4-5D6E-409C-BE32-E72D297353CC}">
                <c16:uniqueId val="{00000013-8B77-4C94-A359-F5F0F12AA60A}"/>
              </c:ext>
            </c:extLst>
          </c:dPt>
          <c:dPt>
            <c:idx val="19"/>
            <c:marker>
              <c:symbol val="circle"/>
              <c:size val="10"/>
              <c:spPr>
                <a:solidFill>
                  <a:srgbClr val="E4FF01"/>
                </a:solidFill>
                <a:ln w="9525">
                  <a:solidFill>
                    <a:schemeClr val="accent1"/>
                  </a:solidFill>
                </a:ln>
                <a:effectLst/>
              </c:spPr>
            </c:marker>
            <c:bubble3D val="0"/>
            <c:extLst>
              <c:ext xmlns:c16="http://schemas.microsoft.com/office/drawing/2014/chart" uri="{C3380CC4-5D6E-409C-BE32-E72D297353CC}">
                <c16:uniqueId val="{00000014-8B77-4C94-A359-F5F0F12AA60A}"/>
              </c:ext>
            </c:extLst>
          </c:dPt>
          <c:xVal>
            <c:numRef>
              <c:f>Base!$G$2:$G$21</c:f>
              <c:numCache>
                <c:formatCode>General</c:formatCode>
                <c:ptCount val="20"/>
                <c:pt idx="0">
                  <c:v>19.988536834716797</c:v>
                </c:pt>
                <c:pt idx="1">
                  <c:v>17.447378798191611</c:v>
                </c:pt>
                <c:pt idx="2">
                  <c:v>15.620215698107327</c:v>
                </c:pt>
                <c:pt idx="3">
                  <c:v>14.785112240309878</c:v>
                </c:pt>
                <c:pt idx="4">
                  <c:v>15.389990992717337</c:v>
                </c:pt>
                <c:pt idx="5">
                  <c:v>15.226098545388934</c:v>
                </c:pt>
                <c:pt idx="6">
                  <c:v>14.589895416464751</c:v>
                </c:pt>
                <c:pt idx="7">
                  <c:v>14.74495500503205</c:v>
                </c:pt>
                <c:pt idx="8">
                  <c:v>15.954898710465152</c:v>
                </c:pt>
                <c:pt idx="9">
                  <c:v>17.990780575023816</c:v>
                </c:pt>
                <c:pt idx="10">
                  <c:v>21.409704208374023</c:v>
                </c:pt>
                <c:pt idx="11">
                  <c:v>26.960432848167457</c:v>
                </c:pt>
                <c:pt idx="12">
                  <c:v>31.575491836744039</c:v>
                </c:pt>
                <c:pt idx="13">
                  <c:v>34.148806594067821</c:v>
                </c:pt>
                <c:pt idx="14">
                  <c:v>34.300026529564398</c:v>
                </c:pt>
                <c:pt idx="15">
                  <c:v>35.175398321336885</c:v>
                </c:pt>
                <c:pt idx="16">
                  <c:v>34.046503478516627</c:v>
                </c:pt>
                <c:pt idx="17">
                  <c:v>32.856148584398156</c:v>
                </c:pt>
                <c:pt idx="18">
                  <c:v>28.973149472029213</c:v>
                </c:pt>
                <c:pt idx="19">
                  <c:v>24.542546792087542</c:v>
                </c:pt>
              </c:numCache>
            </c:numRef>
          </c:xVal>
          <c:yVal>
            <c:numRef>
              <c:f>Base!$H$2:$H$21</c:f>
              <c:numCache>
                <c:formatCode>General</c:formatCode>
                <c:ptCount val="20"/>
                <c:pt idx="0">
                  <c:v>34.088539123535156</c:v>
                </c:pt>
                <c:pt idx="1">
                  <c:v>31.851467794587027</c:v>
                </c:pt>
                <c:pt idx="2">
                  <c:v>28.467178932877331</c:v>
                </c:pt>
                <c:pt idx="3">
                  <c:v>24.24344574432326</c:v>
                </c:pt>
                <c:pt idx="4">
                  <c:v>20.339242902651513</c:v>
                </c:pt>
                <c:pt idx="5">
                  <c:v>16.984474528309125</c:v>
                </c:pt>
                <c:pt idx="6">
                  <c:v>13.747956596199705</c:v>
                </c:pt>
                <c:pt idx="7">
                  <c:v>10.308883520962301</c:v>
                </c:pt>
                <c:pt idx="8">
                  <c:v>6.5361504225058846</c:v>
                </c:pt>
                <c:pt idx="9">
                  <c:v>3.5410873638604485</c:v>
                </c:pt>
                <c:pt idx="10">
                  <c:v>1.5707168579101563</c:v>
                </c:pt>
                <c:pt idx="11">
                  <c:v>2.3255512058347465</c:v>
                </c:pt>
                <c:pt idx="12">
                  <c:v>5.6972256201529046</c:v>
                </c:pt>
                <c:pt idx="13">
                  <c:v>10.133953021715399</c:v>
                </c:pt>
                <c:pt idx="14">
                  <c:v>15.344019948801691</c:v>
                </c:pt>
                <c:pt idx="15">
                  <c:v>20.225982075776543</c:v>
                </c:pt>
                <c:pt idx="16">
                  <c:v>25.072938550499821</c:v>
                </c:pt>
                <c:pt idx="17">
                  <c:v>29.845343476201815</c:v>
                </c:pt>
                <c:pt idx="18">
                  <c:v>33.398653118411595</c:v>
                </c:pt>
                <c:pt idx="19">
                  <c:v>35.474393995158721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0-8B77-4C94-A359-F5F0F12AA60A}"/>
            </c:ext>
          </c:extLst>
        </c:ser>
        <c:ser>
          <c:idx val="1"/>
          <c:order val="1"/>
          <c:spPr>
            <a:ln w="19050" cap="rnd">
              <a:solidFill>
                <a:schemeClr val="accent2"/>
              </a:solidFill>
              <a:round/>
            </a:ln>
            <a:effectLst/>
          </c:spPr>
          <c:marker>
            <c:symbol val="none"/>
          </c:marker>
          <c:xVal>
            <c:numRef>
              <c:f>Arch!$G$2:$G$60</c:f>
              <c:numCache>
                <c:formatCode>General</c:formatCode>
                <c:ptCount val="59"/>
                <c:pt idx="0">
                  <c:v>24.622679963595701</c:v>
                </c:pt>
                <c:pt idx="1">
                  <c:v>24.520280818927532</c:v>
                </c:pt>
                <c:pt idx="2">
                  <c:v>24.755659040425844</c:v>
                </c:pt>
                <c:pt idx="3">
                  <c:v>24.115061543554543</c:v>
                </c:pt>
                <c:pt idx="4">
                  <c:v>23.338956005922093</c:v>
                </c:pt>
                <c:pt idx="5">
                  <c:v>22.292674648434559</c:v>
                </c:pt>
                <c:pt idx="6">
                  <c:v>22.169197546790961</c:v>
                </c:pt>
                <c:pt idx="7">
                  <c:v>22.104014582358687</c:v>
                </c:pt>
                <c:pt idx="8">
                  <c:v>21.632988764152898</c:v>
                </c:pt>
                <c:pt idx="9">
                  <c:v>21.43700293748104</c:v>
                </c:pt>
                <c:pt idx="10">
                  <c:v>21.221893044479934</c:v>
                </c:pt>
                <c:pt idx="11">
                  <c:v>20.83054981877909</c:v>
                </c:pt>
                <c:pt idx="12">
                  <c:v>20.689520855524147</c:v>
                </c:pt>
                <c:pt idx="13">
                  <c:v>21.132386503529549</c:v>
                </c:pt>
                <c:pt idx="14">
                  <c:v>21.308851743899311</c:v>
                </c:pt>
                <c:pt idx="15">
                  <c:v>21.508299024556045</c:v>
                </c:pt>
                <c:pt idx="16">
                  <c:v>21.426874066466205</c:v>
                </c:pt>
                <c:pt idx="17">
                  <c:v>21.366639952184471</c:v>
                </c:pt>
                <c:pt idx="18">
                  <c:v>21.707423228288707</c:v>
                </c:pt>
                <c:pt idx="19">
                  <c:v>22.261109588114827</c:v>
                </c:pt>
                <c:pt idx="20">
                  <c:v>22.260416245328017</c:v>
                </c:pt>
                <c:pt idx="21">
                  <c:v>22.338233746134485</c:v>
                </c:pt>
                <c:pt idx="22">
                  <c:v>22.560068464047028</c:v>
                </c:pt>
                <c:pt idx="23">
                  <c:v>22.877085546911371</c:v>
                </c:pt>
                <c:pt idx="24">
                  <c:v>23.234343879444893</c:v>
                </c:pt>
                <c:pt idx="25">
                  <c:v>23.770561698596829</c:v>
                </c:pt>
                <c:pt idx="26">
                  <c:v>23.827803757812049</c:v>
                </c:pt>
                <c:pt idx="27">
                  <c:v>23.586723306680597</c:v>
                </c:pt>
                <c:pt idx="28">
                  <c:v>23.733148483215786</c:v>
                </c:pt>
                <c:pt idx="29">
                  <c:v>23.979730086782489</c:v>
                </c:pt>
                <c:pt idx="30">
                  <c:v>24.324438684983111</c:v>
                </c:pt>
                <c:pt idx="31">
                  <c:v>24.485675123240469</c:v>
                </c:pt>
                <c:pt idx="32">
                  <c:v>24.470009363861553</c:v>
                </c:pt>
                <c:pt idx="33">
                  <c:v>24.459896726036284</c:v>
                </c:pt>
                <c:pt idx="34">
                  <c:v>24.455093359098058</c:v>
                </c:pt>
                <c:pt idx="35">
                  <c:v>24.431491683755802</c:v>
                </c:pt>
                <c:pt idx="36">
                  <c:v>24.527976327045906</c:v>
                </c:pt>
                <c:pt idx="37">
                  <c:v>24.537021062231823</c:v>
                </c:pt>
                <c:pt idx="38">
                  <c:v>24.137546054258323</c:v>
                </c:pt>
                <c:pt idx="39">
                  <c:v>23.7592091449776</c:v>
                </c:pt>
                <c:pt idx="40">
                  <c:v>23.330603877551383</c:v>
                </c:pt>
                <c:pt idx="41">
                  <c:v>22.88185309911043</c:v>
                </c:pt>
                <c:pt idx="42">
                  <c:v>22.513493207502627</c:v>
                </c:pt>
                <c:pt idx="43">
                  <c:v>22.156281667465542</c:v>
                </c:pt>
                <c:pt idx="44">
                  <c:v>21.9669995231333</c:v>
                </c:pt>
                <c:pt idx="45">
                  <c:v>22.012416112600445</c:v>
                </c:pt>
                <c:pt idx="46">
                  <c:v>21.443783146281937</c:v>
                </c:pt>
                <c:pt idx="47">
                  <c:v>21.032719461005691</c:v>
                </c:pt>
                <c:pt idx="48">
                  <c:v>20.953242519246814</c:v>
                </c:pt>
                <c:pt idx="49">
                  <c:v>20.87152035477866</c:v>
                </c:pt>
                <c:pt idx="50">
                  <c:v>20.717899333551085</c:v>
                </c:pt>
                <c:pt idx="51">
                  <c:v>21.247753409758843</c:v>
                </c:pt>
                <c:pt idx="52">
                  <c:v>21.227797044109252</c:v>
                </c:pt>
                <c:pt idx="53">
                  <c:v>21.306296675203484</c:v>
                </c:pt>
                <c:pt idx="54">
                  <c:v>21.365552349383794</c:v>
                </c:pt>
                <c:pt idx="55">
                  <c:v>21.489923790194066</c:v>
                </c:pt>
                <c:pt idx="56">
                  <c:v>21.365248985762349</c:v>
                </c:pt>
                <c:pt idx="57">
                  <c:v>21.371526454211839</c:v>
                </c:pt>
                <c:pt idx="58">
                  <c:v>21.353885388571918</c:v>
                </c:pt>
              </c:numCache>
            </c:numRef>
          </c:xVal>
          <c:yVal>
            <c:numRef>
              <c:f>Arch!$H$2:$H$60</c:f>
              <c:numCache>
                <c:formatCode>General</c:formatCode>
                <c:ptCount val="59"/>
                <c:pt idx="0">
                  <c:v>36.066009846335994</c:v>
                </c:pt>
                <c:pt idx="1">
                  <c:v>35.769831138590391</c:v>
                </c:pt>
                <c:pt idx="2">
                  <c:v>35.455259005363949</c:v>
                </c:pt>
                <c:pt idx="3">
                  <c:v>35.842902262971393</c:v>
                </c:pt>
                <c:pt idx="4">
                  <c:v>36.035257700619155</c:v>
                </c:pt>
                <c:pt idx="5">
                  <c:v>35.084950943240329</c:v>
                </c:pt>
                <c:pt idx="6">
                  <c:v>33.378611341479697</c:v>
                </c:pt>
                <c:pt idx="7">
                  <c:v>33.019930724955231</c:v>
                </c:pt>
                <c:pt idx="8">
                  <c:v>32.703363327870534</c:v>
                </c:pt>
                <c:pt idx="9">
                  <c:v>33.009514030971381</c:v>
                </c:pt>
                <c:pt idx="10">
                  <c:v>33.172868291123009</c:v>
                </c:pt>
                <c:pt idx="11">
                  <c:v>33.009164930844605</c:v>
                </c:pt>
                <c:pt idx="12">
                  <c:v>31.671674236173779</c:v>
                </c:pt>
                <c:pt idx="13">
                  <c:v>29.81195333245698</c:v>
                </c:pt>
                <c:pt idx="14">
                  <c:v>29.166658886920537</c:v>
                </c:pt>
                <c:pt idx="15">
                  <c:v>28.957065170731589</c:v>
                </c:pt>
                <c:pt idx="16">
                  <c:v>29.095776982823249</c:v>
                </c:pt>
                <c:pt idx="17">
                  <c:v>28.983306572954454</c:v>
                </c:pt>
                <c:pt idx="18">
                  <c:v>28.015570128907889</c:v>
                </c:pt>
                <c:pt idx="19">
                  <c:v>26.465455704072674</c:v>
                </c:pt>
                <c:pt idx="20">
                  <c:v>25.269959452668687</c:v>
                </c:pt>
                <c:pt idx="21">
                  <c:v>24.475606931421474</c:v>
                </c:pt>
                <c:pt idx="22">
                  <c:v>23.929804370640937</c:v>
                </c:pt>
                <c:pt idx="23">
                  <c:v>23.273358185100172</c:v>
                </c:pt>
                <c:pt idx="24">
                  <c:v>22.312022549317874</c:v>
                </c:pt>
                <c:pt idx="25">
                  <c:v>20.781194662768701</c:v>
                </c:pt>
                <c:pt idx="26">
                  <c:v>19.471988305806214</c:v>
                </c:pt>
                <c:pt idx="27">
                  <c:v>18.209293623592014</c:v>
                </c:pt>
                <c:pt idx="28">
                  <c:v>16.771468846886783</c:v>
                </c:pt>
                <c:pt idx="29">
                  <c:v>15.41163652554642</c:v>
                </c:pt>
                <c:pt idx="30">
                  <c:v>13.926574916793129</c:v>
                </c:pt>
                <c:pt idx="31">
                  <c:v>12.639401621222433</c:v>
                </c:pt>
                <c:pt idx="32">
                  <c:v>12.055224414464671</c:v>
                </c:pt>
                <c:pt idx="33">
                  <c:v>11.498271423652163</c:v>
                </c:pt>
                <c:pt idx="34">
                  <c:v>10.919588672697003</c:v>
                </c:pt>
                <c:pt idx="35">
                  <c:v>10.366821063921238</c:v>
                </c:pt>
                <c:pt idx="36">
                  <c:v>10.07033110047027</c:v>
                </c:pt>
                <c:pt idx="37">
                  <c:v>9.507766595674541</c:v>
                </c:pt>
                <c:pt idx="38">
                  <c:v>7.9115093816551783</c:v>
                </c:pt>
                <c:pt idx="39">
                  <c:v>6.2274817200143433</c:v>
                </c:pt>
                <c:pt idx="40">
                  <c:v>5.5549839642138084</c:v>
                </c:pt>
                <c:pt idx="41">
                  <c:v>5.3383861110726079</c:v>
                </c:pt>
                <c:pt idx="42">
                  <c:v>5.5426804467216755</c:v>
                </c:pt>
                <c:pt idx="43">
                  <c:v>5.7573099561464902</c:v>
                </c:pt>
                <c:pt idx="44">
                  <c:v>4.5927911535113113</c:v>
                </c:pt>
                <c:pt idx="45">
                  <c:v>2.6961320049633604</c:v>
                </c:pt>
                <c:pt idx="46">
                  <c:v>2.0658487960736966</c:v>
                </c:pt>
                <c:pt idx="47">
                  <c:v>2.2888603001480385</c:v>
                </c:pt>
                <c:pt idx="48">
                  <c:v>2.4152321069723883</c:v>
                </c:pt>
                <c:pt idx="49">
                  <c:v>2.8764098447741135</c:v>
                </c:pt>
                <c:pt idx="50">
                  <c:v>2.4381174196466806</c:v>
                </c:pt>
                <c:pt idx="51">
                  <c:v>0.59858382331426707</c:v>
                </c:pt>
                <c:pt idx="52">
                  <c:v>-0.28505860706214498</c:v>
                </c:pt>
                <c:pt idx="53">
                  <c:v>0.16014042678031171</c:v>
                </c:pt>
                <c:pt idx="54">
                  <c:v>0.62730645024697362</c:v>
                </c:pt>
                <c:pt idx="55">
                  <c:v>0.97797817764509531</c:v>
                </c:pt>
                <c:pt idx="56">
                  <c:v>-0.22407835097434539</c:v>
                </c:pt>
                <c:pt idx="57">
                  <c:v>0.37386210053711921</c:v>
                </c:pt>
                <c:pt idx="58">
                  <c:v>1.1489184395648879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17-8B77-4C94-A359-F5F0F12AA60A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392344304"/>
        <c:axId val="392341424"/>
      </c:scatterChart>
      <c:valAx>
        <c:axId val="392344304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392341424"/>
        <c:crosses val="autoZero"/>
        <c:crossBetween val="midCat"/>
      </c:valAx>
      <c:valAx>
        <c:axId val="39234142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392344304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scatterChart>
        <c:scatterStyle val="smoothMarker"/>
        <c:varyColors val="0"/>
        <c:ser>
          <c:idx val="0"/>
          <c:order val="0"/>
          <c:tx>
            <c:strRef>
              <c:f>Base!$I$1</c:f>
              <c:strCache>
                <c:ptCount val="1"/>
                <c:pt idx="0">
                  <c:v>Z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10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dPt>
            <c:idx val="0"/>
            <c:marker>
              <c:symbol val="circle"/>
              <c:size val="10"/>
              <c:spPr>
                <a:solidFill>
                  <a:srgbClr val="FF0101"/>
                </a:solidFill>
                <a:ln w="9525">
                  <a:solidFill>
                    <a:schemeClr val="accent1"/>
                  </a:solidFill>
                </a:ln>
                <a:effectLst/>
              </c:spPr>
            </c:marker>
            <c:bubble3D val="0"/>
            <c:extLst>
              <c:ext xmlns:c16="http://schemas.microsoft.com/office/drawing/2014/chart" uri="{C3380CC4-5D6E-409C-BE32-E72D297353CC}">
                <c16:uniqueId val="{00000000-5B92-43EF-8B00-39A7781006B6}"/>
              </c:ext>
            </c:extLst>
          </c:dPt>
          <c:dPt>
            <c:idx val="1"/>
            <c:marker>
              <c:symbol val="circle"/>
              <c:size val="10"/>
              <c:spPr>
                <a:solidFill>
                  <a:srgbClr val="FF0D01"/>
                </a:solidFill>
                <a:ln w="9525">
                  <a:solidFill>
                    <a:schemeClr val="accent1"/>
                  </a:solidFill>
                </a:ln>
                <a:effectLst/>
              </c:spPr>
            </c:marker>
            <c:bubble3D val="0"/>
            <c:extLst>
              <c:ext xmlns:c16="http://schemas.microsoft.com/office/drawing/2014/chart" uri="{C3380CC4-5D6E-409C-BE32-E72D297353CC}">
                <c16:uniqueId val="{00000001-5B92-43EF-8B00-39A7781006B6}"/>
              </c:ext>
            </c:extLst>
          </c:dPt>
          <c:dPt>
            <c:idx val="2"/>
            <c:marker>
              <c:symbol val="circle"/>
              <c:size val="10"/>
              <c:spPr>
                <a:solidFill>
                  <a:srgbClr val="FF1F01"/>
                </a:solidFill>
                <a:ln w="9525">
                  <a:solidFill>
                    <a:schemeClr val="accent1"/>
                  </a:solidFill>
                </a:ln>
                <a:effectLst/>
              </c:spPr>
            </c:marker>
            <c:bubble3D val="0"/>
            <c:extLst>
              <c:ext xmlns:c16="http://schemas.microsoft.com/office/drawing/2014/chart" uri="{C3380CC4-5D6E-409C-BE32-E72D297353CC}">
                <c16:uniqueId val="{00000002-5B92-43EF-8B00-39A7781006B6}"/>
              </c:ext>
            </c:extLst>
          </c:dPt>
          <c:dPt>
            <c:idx val="3"/>
            <c:marker>
              <c:symbol val="circle"/>
              <c:size val="10"/>
              <c:spPr>
                <a:solidFill>
                  <a:srgbClr val="FF2B01"/>
                </a:solidFill>
                <a:ln w="9525">
                  <a:solidFill>
                    <a:schemeClr val="accent1"/>
                  </a:solidFill>
                </a:ln>
                <a:effectLst/>
              </c:spPr>
            </c:marker>
            <c:bubble3D val="0"/>
            <c:extLst>
              <c:ext xmlns:c16="http://schemas.microsoft.com/office/drawing/2014/chart" uri="{C3380CC4-5D6E-409C-BE32-E72D297353CC}">
                <c16:uniqueId val="{00000003-5B92-43EF-8B00-39A7781006B6}"/>
              </c:ext>
            </c:extLst>
          </c:dPt>
          <c:dPt>
            <c:idx val="4"/>
            <c:marker>
              <c:symbol val="circle"/>
              <c:size val="10"/>
              <c:spPr>
                <a:solidFill>
                  <a:srgbClr val="FF3D01"/>
                </a:solidFill>
                <a:ln w="9525">
                  <a:solidFill>
                    <a:schemeClr val="accent1"/>
                  </a:solidFill>
                </a:ln>
                <a:effectLst/>
              </c:spPr>
            </c:marker>
            <c:bubble3D val="0"/>
            <c:extLst>
              <c:ext xmlns:c16="http://schemas.microsoft.com/office/drawing/2014/chart" uri="{C3380CC4-5D6E-409C-BE32-E72D297353CC}">
                <c16:uniqueId val="{00000004-5B92-43EF-8B00-39A7781006B6}"/>
              </c:ext>
            </c:extLst>
          </c:dPt>
          <c:dPt>
            <c:idx val="5"/>
            <c:marker>
              <c:symbol val="circle"/>
              <c:size val="10"/>
              <c:spPr>
                <a:solidFill>
                  <a:srgbClr val="FF4901"/>
                </a:solidFill>
                <a:ln w="9525">
                  <a:solidFill>
                    <a:schemeClr val="accent1"/>
                  </a:solidFill>
                </a:ln>
                <a:effectLst/>
              </c:spPr>
            </c:marker>
            <c:bubble3D val="0"/>
            <c:extLst>
              <c:ext xmlns:c16="http://schemas.microsoft.com/office/drawing/2014/chart" uri="{C3380CC4-5D6E-409C-BE32-E72D297353CC}">
                <c16:uniqueId val="{00000005-5B92-43EF-8B00-39A7781006B6}"/>
              </c:ext>
            </c:extLst>
          </c:dPt>
          <c:dPt>
            <c:idx val="6"/>
            <c:marker>
              <c:symbol val="circle"/>
              <c:size val="10"/>
              <c:spPr>
                <a:solidFill>
                  <a:srgbClr val="FF5B01"/>
                </a:solidFill>
                <a:ln w="9525">
                  <a:solidFill>
                    <a:schemeClr val="accent1"/>
                  </a:solidFill>
                </a:ln>
                <a:effectLst/>
              </c:spPr>
            </c:marker>
            <c:bubble3D val="0"/>
            <c:extLst>
              <c:ext xmlns:c16="http://schemas.microsoft.com/office/drawing/2014/chart" uri="{C3380CC4-5D6E-409C-BE32-E72D297353CC}">
                <c16:uniqueId val="{00000006-5B92-43EF-8B00-39A7781006B6}"/>
              </c:ext>
            </c:extLst>
          </c:dPt>
          <c:dPt>
            <c:idx val="7"/>
            <c:marker>
              <c:symbol val="circle"/>
              <c:size val="10"/>
              <c:spPr>
                <a:solidFill>
                  <a:srgbClr val="FF6701"/>
                </a:solidFill>
                <a:ln w="9525">
                  <a:solidFill>
                    <a:schemeClr val="accent1"/>
                  </a:solidFill>
                </a:ln>
                <a:effectLst/>
              </c:spPr>
            </c:marker>
            <c:bubble3D val="0"/>
            <c:extLst>
              <c:ext xmlns:c16="http://schemas.microsoft.com/office/drawing/2014/chart" uri="{C3380CC4-5D6E-409C-BE32-E72D297353CC}">
                <c16:uniqueId val="{00000007-5B92-43EF-8B00-39A7781006B6}"/>
              </c:ext>
            </c:extLst>
          </c:dPt>
          <c:dPt>
            <c:idx val="8"/>
            <c:marker>
              <c:symbol val="circle"/>
              <c:size val="10"/>
              <c:spPr>
                <a:solidFill>
                  <a:srgbClr val="FF7901"/>
                </a:solidFill>
                <a:ln w="9525">
                  <a:solidFill>
                    <a:schemeClr val="accent1"/>
                  </a:solidFill>
                </a:ln>
                <a:effectLst/>
              </c:spPr>
            </c:marker>
            <c:bubble3D val="0"/>
            <c:extLst>
              <c:ext xmlns:c16="http://schemas.microsoft.com/office/drawing/2014/chart" uri="{C3380CC4-5D6E-409C-BE32-E72D297353CC}">
                <c16:uniqueId val="{00000008-5B92-43EF-8B00-39A7781006B6}"/>
              </c:ext>
            </c:extLst>
          </c:dPt>
          <c:dPt>
            <c:idx val="9"/>
            <c:marker>
              <c:symbol val="circle"/>
              <c:size val="10"/>
              <c:spPr>
                <a:solidFill>
                  <a:srgbClr val="FF8401"/>
                </a:solidFill>
                <a:ln w="9525">
                  <a:solidFill>
                    <a:schemeClr val="accent1"/>
                  </a:solidFill>
                </a:ln>
                <a:effectLst/>
              </c:spPr>
            </c:marker>
            <c:bubble3D val="0"/>
            <c:extLst>
              <c:ext xmlns:c16="http://schemas.microsoft.com/office/drawing/2014/chart" uri="{C3380CC4-5D6E-409C-BE32-E72D297353CC}">
                <c16:uniqueId val="{00000009-5B92-43EF-8B00-39A7781006B6}"/>
              </c:ext>
            </c:extLst>
          </c:dPt>
          <c:dPt>
            <c:idx val="10"/>
            <c:marker>
              <c:symbol val="circle"/>
              <c:size val="10"/>
              <c:spPr>
                <a:solidFill>
                  <a:srgbClr val="FF9601"/>
                </a:solidFill>
                <a:ln w="9525">
                  <a:solidFill>
                    <a:schemeClr val="accent1"/>
                  </a:solidFill>
                </a:ln>
                <a:effectLst/>
              </c:spPr>
            </c:marker>
            <c:bubble3D val="0"/>
            <c:extLst>
              <c:ext xmlns:c16="http://schemas.microsoft.com/office/drawing/2014/chart" uri="{C3380CC4-5D6E-409C-BE32-E72D297353CC}">
                <c16:uniqueId val="{0000000A-5B92-43EF-8B00-39A7781006B6}"/>
              </c:ext>
            </c:extLst>
          </c:dPt>
          <c:dPt>
            <c:idx val="11"/>
            <c:marker>
              <c:symbol val="circle"/>
              <c:size val="10"/>
              <c:spPr>
                <a:solidFill>
                  <a:srgbClr val="FFA201"/>
                </a:solidFill>
                <a:ln w="9525">
                  <a:solidFill>
                    <a:schemeClr val="accent1"/>
                  </a:solidFill>
                </a:ln>
                <a:effectLst/>
              </c:spPr>
            </c:marker>
            <c:bubble3D val="0"/>
            <c:extLst>
              <c:ext xmlns:c16="http://schemas.microsoft.com/office/drawing/2014/chart" uri="{C3380CC4-5D6E-409C-BE32-E72D297353CC}">
                <c16:uniqueId val="{0000000B-5B92-43EF-8B00-39A7781006B6}"/>
              </c:ext>
            </c:extLst>
          </c:dPt>
          <c:dPt>
            <c:idx val="12"/>
            <c:marker>
              <c:symbol val="circle"/>
              <c:size val="10"/>
              <c:spPr>
                <a:solidFill>
                  <a:srgbClr val="FFB401"/>
                </a:solidFill>
                <a:ln w="9525">
                  <a:solidFill>
                    <a:schemeClr val="accent1"/>
                  </a:solidFill>
                </a:ln>
                <a:effectLst/>
              </c:spPr>
            </c:marker>
            <c:bubble3D val="0"/>
            <c:extLst>
              <c:ext xmlns:c16="http://schemas.microsoft.com/office/drawing/2014/chart" uri="{C3380CC4-5D6E-409C-BE32-E72D297353CC}">
                <c16:uniqueId val="{0000000C-5B92-43EF-8B00-39A7781006B6}"/>
              </c:ext>
            </c:extLst>
          </c:dPt>
          <c:dPt>
            <c:idx val="13"/>
            <c:marker>
              <c:symbol val="circle"/>
              <c:size val="10"/>
              <c:spPr>
                <a:solidFill>
                  <a:srgbClr val="FFC001"/>
                </a:solidFill>
                <a:ln w="9525">
                  <a:solidFill>
                    <a:schemeClr val="accent1"/>
                  </a:solidFill>
                </a:ln>
                <a:effectLst/>
              </c:spPr>
            </c:marker>
            <c:bubble3D val="0"/>
            <c:extLst>
              <c:ext xmlns:c16="http://schemas.microsoft.com/office/drawing/2014/chart" uri="{C3380CC4-5D6E-409C-BE32-E72D297353CC}">
                <c16:uniqueId val="{0000000D-5B92-43EF-8B00-39A7781006B6}"/>
              </c:ext>
            </c:extLst>
          </c:dPt>
          <c:dPt>
            <c:idx val="14"/>
            <c:marker>
              <c:symbol val="circle"/>
              <c:size val="10"/>
              <c:spPr>
                <a:solidFill>
                  <a:srgbClr val="FFD201"/>
                </a:solidFill>
                <a:ln w="9525">
                  <a:solidFill>
                    <a:schemeClr val="accent1"/>
                  </a:solidFill>
                </a:ln>
                <a:effectLst/>
              </c:spPr>
            </c:marker>
            <c:bubble3D val="0"/>
            <c:extLst>
              <c:ext xmlns:c16="http://schemas.microsoft.com/office/drawing/2014/chart" uri="{C3380CC4-5D6E-409C-BE32-E72D297353CC}">
                <c16:uniqueId val="{0000000E-5B92-43EF-8B00-39A7781006B6}"/>
              </c:ext>
            </c:extLst>
          </c:dPt>
          <c:dPt>
            <c:idx val="15"/>
            <c:marker>
              <c:symbol val="circle"/>
              <c:size val="10"/>
              <c:spPr>
                <a:solidFill>
                  <a:srgbClr val="FFDE01"/>
                </a:solidFill>
                <a:ln w="9525">
                  <a:solidFill>
                    <a:schemeClr val="accent1"/>
                  </a:solidFill>
                </a:ln>
                <a:effectLst/>
              </c:spPr>
            </c:marker>
            <c:bubble3D val="0"/>
            <c:extLst>
              <c:ext xmlns:c16="http://schemas.microsoft.com/office/drawing/2014/chart" uri="{C3380CC4-5D6E-409C-BE32-E72D297353CC}">
                <c16:uniqueId val="{0000000F-5B92-43EF-8B00-39A7781006B6}"/>
              </c:ext>
            </c:extLst>
          </c:dPt>
          <c:dPt>
            <c:idx val="16"/>
            <c:marker>
              <c:symbol val="circle"/>
              <c:size val="10"/>
              <c:spPr>
                <a:solidFill>
                  <a:srgbClr val="FFF001"/>
                </a:solidFill>
                <a:ln w="9525">
                  <a:solidFill>
                    <a:schemeClr val="accent1"/>
                  </a:solidFill>
                </a:ln>
                <a:effectLst/>
              </c:spPr>
            </c:marker>
            <c:bubble3D val="0"/>
            <c:extLst>
              <c:ext xmlns:c16="http://schemas.microsoft.com/office/drawing/2014/chart" uri="{C3380CC4-5D6E-409C-BE32-E72D297353CC}">
                <c16:uniqueId val="{00000010-5B92-43EF-8B00-39A7781006B6}"/>
              </c:ext>
            </c:extLst>
          </c:dPt>
          <c:dPt>
            <c:idx val="17"/>
            <c:marker>
              <c:symbol val="circle"/>
              <c:size val="10"/>
              <c:spPr>
                <a:solidFill>
                  <a:srgbClr val="FFFC01"/>
                </a:solidFill>
                <a:ln w="9525">
                  <a:solidFill>
                    <a:schemeClr val="accent1"/>
                  </a:solidFill>
                </a:ln>
                <a:effectLst/>
              </c:spPr>
            </c:marker>
            <c:bubble3D val="0"/>
            <c:extLst>
              <c:ext xmlns:c16="http://schemas.microsoft.com/office/drawing/2014/chart" uri="{C3380CC4-5D6E-409C-BE32-E72D297353CC}">
                <c16:uniqueId val="{00000011-5B92-43EF-8B00-39A7781006B6}"/>
              </c:ext>
            </c:extLst>
          </c:dPt>
          <c:dPt>
            <c:idx val="18"/>
            <c:marker>
              <c:symbol val="circle"/>
              <c:size val="10"/>
              <c:spPr>
                <a:solidFill>
                  <a:srgbClr val="F0FF01"/>
                </a:solidFill>
                <a:ln w="9525">
                  <a:solidFill>
                    <a:schemeClr val="accent1"/>
                  </a:solidFill>
                </a:ln>
                <a:effectLst/>
              </c:spPr>
            </c:marker>
            <c:bubble3D val="0"/>
            <c:extLst>
              <c:ext xmlns:c16="http://schemas.microsoft.com/office/drawing/2014/chart" uri="{C3380CC4-5D6E-409C-BE32-E72D297353CC}">
                <c16:uniqueId val="{00000012-5B92-43EF-8B00-39A7781006B6}"/>
              </c:ext>
            </c:extLst>
          </c:dPt>
          <c:dPt>
            <c:idx val="19"/>
            <c:marker>
              <c:symbol val="circle"/>
              <c:size val="10"/>
              <c:spPr>
                <a:solidFill>
                  <a:srgbClr val="E4FF01"/>
                </a:solidFill>
                <a:ln w="9525">
                  <a:solidFill>
                    <a:schemeClr val="accent1"/>
                  </a:solidFill>
                </a:ln>
                <a:effectLst/>
              </c:spPr>
            </c:marker>
            <c:bubble3D val="0"/>
            <c:extLst>
              <c:ext xmlns:c16="http://schemas.microsoft.com/office/drawing/2014/chart" uri="{C3380CC4-5D6E-409C-BE32-E72D297353CC}">
                <c16:uniqueId val="{00000013-5B92-43EF-8B00-39A7781006B6}"/>
              </c:ext>
            </c:extLst>
          </c:dPt>
          <c:xVal>
            <c:numRef>
              <c:f>Base!$I$2:$I$21</c:f>
              <c:numCache>
                <c:formatCode>General</c:formatCode>
                <c:ptCount val="20"/>
                <c:pt idx="0">
                  <c:v>8.526209831237793</c:v>
                </c:pt>
                <c:pt idx="1">
                  <c:v>7.7378903974518671</c:v>
                </c:pt>
                <c:pt idx="2">
                  <c:v>8.6495438438248442</c:v>
                </c:pt>
                <c:pt idx="3">
                  <c:v>9.21030866933285</c:v>
                </c:pt>
                <c:pt idx="4">
                  <c:v>10.314599169737038</c:v>
                </c:pt>
                <c:pt idx="5">
                  <c:v>11.153500658026353</c:v>
                </c:pt>
                <c:pt idx="6">
                  <c:v>9.9378186291302875</c:v>
                </c:pt>
                <c:pt idx="7">
                  <c:v>9.1086367813538658</c:v>
                </c:pt>
                <c:pt idx="8">
                  <c:v>7.8809415270234533</c:v>
                </c:pt>
                <c:pt idx="9">
                  <c:v>7.2252750852123473</c:v>
                </c:pt>
                <c:pt idx="10">
                  <c:v>8.3503875732421875</c:v>
                </c:pt>
                <c:pt idx="11">
                  <c:v>9.2665027375444762</c:v>
                </c:pt>
                <c:pt idx="12">
                  <c:v>8.3223110361798014</c:v>
                </c:pt>
                <c:pt idx="13">
                  <c:v>5.6309749641018811</c:v>
                </c:pt>
                <c:pt idx="14">
                  <c:v>7.2146699669787111</c:v>
                </c:pt>
                <c:pt idx="15">
                  <c:v>8.7702641455289445</c:v>
                </c:pt>
                <c:pt idx="16">
                  <c:v>10.391627065539124</c:v>
                </c:pt>
                <c:pt idx="17">
                  <c:v>10.022898827638143</c:v>
                </c:pt>
                <c:pt idx="18">
                  <c:v>8.6846130035911049</c:v>
                </c:pt>
                <c:pt idx="19">
                  <c:v>8.3837897434089044</c:v>
                </c:pt>
              </c:numCache>
            </c:numRef>
          </c:xVal>
          <c:yVal>
            <c:numRef>
              <c:f>Base!$H$2:$H$21</c:f>
              <c:numCache>
                <c:formatCode>General</c:formatCode>
                <c:ptCount val="20"/>
                <c:pt idx="0">
                  <c:v>34.088539123535156</c:v>
                </c:pt>
                <c:pt idx="1">
                  <c:v>31.851467794587027</c:v>
                </c:pt>
                <c:pt idx="2">
                  <c:v>28.467178932877331</c:v>
                </c:pt>
                <c:pt idx="3">
                  <c:v>24.24344574432326</c:v>
                </c:pt>
                <c:pt idx="4">
                  <c:v>20.339242902651513</c:v>
                </c:pt>
                <c:pt idx="5">
                  <c:v>16.984474528309125</c:v>
                </c:pt>
                <c:pt idx="6">
                  <c:v>13.747956596199705</c:v>
                </c:pt>
                <c:pt idx="7">
                  <c:v>10.308883520962301</c:v>
                </c:pt>
                <c:pt idx="8">
                  <c:v>6.5361504225058846</c:v>
                </c:pt>
                <c:pt idx="9">
                  <c:v>3.5410873638604485</c:v>
                </c:pt>
                <c:pt idx="10">
                  <c:v>1.5707168579101563</c:v>
                </c:pt>
                <c:pt idx="11">
                  <c:v>2.3255512058347465</c:v>
                </c:pt>
                <c:pt idx="12">
                  <c:v>5.6972256201529046</c:v>
                </c:pt>
                <c:pt idx="13">
                  <c:v>10.133953021715399</c:v>
                </c:pt>
                <c:pt idx="14">
                  <c:v>15.344019948801691</c:v>
                </c:pt>
                <c:pt idx="15">
                  <c:v>20.225982075776543</c:v>
                </c:pt>
                <c:pt idx="16">
                  <c:v>25.072938550499821</c:v>
                </c:pt>
                <c:pt idx="17">
                  <c:v>29.845343476201815</c:v>
                </c:pt>
                <c:pt idx="18">
                  <c:v>33.398653118411595</c:v>
                </c:pt>
                <c:pt idx="19">
                  <c:v>35.474393995158721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0-8B77-4C94-A359-F5F0F12AA60A}"/>
            </c:ext>
          </c:extLst>
        </c:ser>
        <c:ser>
          <c:idx val="1"/>
          <c:order val="1"/>
          <c:tx>
            <c:v>Arch</c:v>
          </c:tx>
          <c:spPr>
            <a:ln w="19050" cap="rnd">
              <a:solidFill>
                <a:schemeClr val="accent2"/>
              </a:solidFill>
              <a:round/>
            </a:ln>
            <a:effectLst/>
          </c:spPr>
          <c:marker>
            <c:symbol val="none"/>
          </c:marker>
          <c:xVal>
            <c:numRef>
              <c:f>Arch!$I$2:$I$60</c:f>
              <c:numCache>
                <c:formatCode>General</c:formatCode>
                <c:ptCount val="59"/>
                <c:pt idx="0">
                  <c:v>10.185391954155202</c:v>
                </c:pt>
                <c:pt idx="1">
                  <c:v>11.955278045502313</c:v>
                </c:pt>
                <c:pt idx="2">
                  <c:v>13.717102357227432</c:v>
                </c:pt>
                <c:pt idx="3">
                  <c:v>15.30656950633667</c:v>
                </c:pt>
                <c:pt idx="4">
                  <c:v>16.994504836384529</c:v>
                </c:pt>
                <c:pt idx="5">
                  <c:v>17.883265076945321</c:v>
                </c:pt>
                <c:pt idx="6">
                  <c:v>16.945582828708918</c:v>
                </c:pt>
                <c:pt idx="7">
                  <c:v>18.317267919750801</c:v>
                </c:pt>
                <c:pt idx="8">
                  <c:v>20.098898414394167</c:v>
                </c:pt>
                <c:pt idx="9">
                  <c:v>21.777309685461937</c:v>
                </c:pt>
                <c:pt idx="10">
                  <c:v>23.540770726735566</c:v>
                </c:pt>
                <c:pt idx="11">
                  <c:v>25.345658153082617</c:v>
                </c:pt>
                <c:pt idx="12">
                  <c:v>26.594542276977069</c:v>
                </c:pt>
                <c:pt idx="13">
                  <c:v>26.212947444118498</c:v>
                </c:pt>
                <c:pt idx="14">
                  <c:v>27.877469652013211</c:v>
                </c:pt>
                <c:pt idx="15">
                  <c:v>29.655414348039926</c:v>
                </c:pt>
                <c:pt idx="16">
                  <c:v>31.40691872498909</c:v>
                </c:pt>
                <c:pt idx="17">
                  <c:v>33.293133085104131</c:v>
                </c:pt>
                <c:pt idx="18">
                  <c:v>34.945149912500526</c:v>
                </c:pt>
                <c:pt idx="19">
                  <c:v>35.335891490944988</c:v>
                </c:pt>
                <c:pt idx="20">
                  <c:v>36.001521757842241</c:v>
                </c:pt>
                <c:pt idx="21">
                  <c:v>37.776249494987681</c:v>
                </c:pt>
                <c:pt idx="22">
                  <c:v>39.579742129083563</c:v>
                </c:pt>
                <c:pt idx="23">
                  <c:v>41.327305371845071</c:v>
                </c:pt>
                <c:pt idx="24">
                  <c:v>42.981453570212892</c:v>
                </c:pt>
                <c:pt idx="25">
                  <c:v>43.699378721613265</c:v>
                </c:pt>
                <c:pt idx="26">
                  <c:v>42.811678266629933</c:v>
                </c:pt>
                <c:pt idx="27">
                  <c:v>44.236887106445799</c:v>
                </c:pt>
                <c:pt idx="28">
                  <c:v>45.547207398197607</c:v>
                </c:pt>
                <c:pt idx="29">
                  <c:v>46.928739026425646</c:v>
                </c:pt>
                <c:pt idx="30">
                  <c:v>48.130390786315715</c:v>
                </c:pt>
                <c:pt idx="31">
                  <c:v>47.083244064237419</c:v>
                </c:pt>
                <c:pt idx="32">
                  <c:v>45.213474680230775</c:v>
                </c:pt>
                <c:pt idx="33">
                  <c:v>43.340179713714008</c:v>
                </c:pt>
                <c:pt idx="34">
                  <c:v>41.476584468022338</c:v>
                </c:pt>
                <c:pt idx="35">
                  <c:v>39.695144030400044</c:v>
                </c:pt>
                <c:pt idx="36">
                  <c:v>37.768536845591314</c:v>
                </c:pt>
                <c:pt idx="37">
                  <c:v>36.283406207681949</c:v>
                </c:pt>
                <c:pt idx="38">
                  <c:v>37.277187766067136</c:v>
                </c:pt>
                <c:pt idx="39">
                  <c:v>37.139965704588256</c:v>
                </c:pt>
                <c:pt idx="40">
                  <c:v>35.419653496717828</c:v>
                </c:pt>
                <c:pt idx="41">
                  <c:v>33.622500949684664</c:v>
                </c:pt>
                <c:pt idx="42">
                  <c:v>31.771663124631313</c:v>
                </c:pt>
                <c:pt idx="43">
                  <c:v>29.95220375241863</c:v>
                </c:pt>
                <c:pt idx="44">
                  <c:v>29.644404231620452</c:v>
                </c:pt>
                <c:pt idx="45">
                  <c:v>30.057880177283472</c:v>
                </c:pt>
                <c:pt idx="46">
                  <c:v>28.45216706116004</c:v>
                </c:pt>
                <c:pt idx="47">
                  <c:v>26.593877705343473</c:v>
                </c:pt>
                <c:pt idx="48">
                  <c:v>24.723566146858246</c:v>
                </c:pt>
                <c:pt idx="49">
                  <c:v>22.886746202060998</c:v>
                </c:pt>
                <c:pt idx="50">
                  <c:v>21.306353252629712</c:v>
                </c:pt>
                <c:pt idx="51">
                  <c:v>21.451299616530196</c:v>
                </c:pt>
                <c:pt idx="52">
                  <c:v>20.181016219553182</c:v>
                </c:pt>
                <c:pt idx="53">
                  <c:v>18.286664782775802</c:v>
                </c:pt>
                <c:pt idx="54">
                  <c:v>16.493219574680214</c:v>
                </c:pt>
                <c:pt idx="55">
                  <c:v>14.77949539709789</c:v>
                </c:pt>
                <c:pt idx="56">
                  <c:v>13.702808877601662</c:v>
                </c:pt>
                <c:pt idx="57">
                  <c:v>11.981317988965676</c:v>
                </c:pt>
                <c:pt idx="58">
                  <c:v>10.245592776874039</c:v>
                </c:pt>
              </c:numCache>
            </c:numRef>
          </c:xVal>
          <c:yVal>
            <c:numRef>
              <c:f>Arch!$H$2:$H$60</c:f>
              <c:numCache>
                <c:formatCode>General</c:formatCode>
                <c:ptCount val="59"/>
                <c:pt idx="0">
                  <c:v>36.066009846335994</c:v>
                </c:pt>
                <c:pt idx="1">
                  <c:v>35.769831138590391</c:v>
                </c:pt>
                <c:pt idx="2">
                  <c:v>35.455259005363949</c:v>
                </c:pt>
                <c:pt idx="3">
                  <c:v>35.842902262971393</c:v>
                </c:pt>
                <c:pt idx="4">
                  <c:v>36.035257700619155</c:v>
                </c:pt>
                <c:pt idx="5">
                  <c:v>35.084950943240329</c:v>
                </c:pt>
                <c:pt idx="6">
                  <c:v>33.378611341479697</c:v>
                </c:pt>
                <c:pt idx="7">
                  <c:v>33.019930724955231</c:v>
                </c:pt>
                <c:pt idx="8">
                  <c:v>32.703363327870534</c:v>
                </c:pt>
                <c:pt idx="9">
                  <c:v>33.009514030971381</c:v>
                </c:pt>
                <c:pt idx="10">
                  <c:v>33.172868291123009</c:v>
                </c:pt>
                <c:pt idx="11">
                  <c:v>33.009164930844605</c:v>
                </c:pt>
                <c:pt idx="12">
                  <c:v>31.671674236173779</c:v>
                </c:pt>
                <c:pt idx="13">
                  <c:v>29.81195333245698</c:v>
                </c:pt>
                <c:pt idx="14">
                  <c:v>29.166658886920537</c:v>
                </c:pt>
                <c:pt idx="15">
                  <c:v>28.957065170731589</c:v>
                </c:pt>
                <c:pt idx="16">
                  <c:v>29.095776982823249</c:v>
                </c:pt>
                <c:pt idx="17">
                  <c:v>28.983306572954454</c:v>
                </c:pt>
                <c:pt idx="18">
                  <c:v>28.015570128907889</c:v>
                </c:pt>
                <c:pt idx="19">
                  <c:v>26.465455704072674</c:v>
                </c:pt>
                <c:pt idx="20">
                  <c:v>25.269959452668687</c:v>
                </c:pt>
                <c:pt idx="21">
                  <c:v>24.475606931421474</c:v>
                </c:pt>
                <c:pt idx="22">
                  <c:v>23.929804370640937</c:v>
                </c:pt>
                <c:pt idx="23">
                  <c:v>23.273358185100172</c:v>
                </c:pt>
                <c:pt idx="24">
                  <c:v>22.312022549317874</c:v>
                </c:pt>
                <c:pt idx="25">
                  <c:v>20.781194662768701</c:v>
                </c:pt>
                <c:pt idx="26">
                  <c:v>19.471988305806214</c:v>
                </c:pt>
                <c:pt idx="27">
                  <c:v>18.209293623592014</c:v>
                </c:pt>
                <c:pt idx="28">
                  <c:v>16.771468846886783</c:v>
                </c:pt>
                <c:pt idx="29">
                  <c:v>15.41163652554642</c:v>
                </c:pt>
                <c:pt idx="30">
                  <c:v>13.926574916793129</c:v>
                </c:pt>
                <c:pt idx="31">
                  <c:v>12.639401621222433</c:v>
                </c:pt>
                <c:pt idx="32">
                  <c:v>12.055224414464671</c:v>
                </c:pt>
                <c:pt idx="33">
                  <c:v>11.498271423652163</c:v>
                </c:pt>
                <c:pt idx="34">
                  <c:v>10.919588672697003</c:v>
                </c:pt>
                <c:pt idx="35">
                  <c:v>10.366821063921238</c:v>
                </c:pt>
                <c:pt idx="36">
                  <c:v>10.07033110047027</c:v>
                </c:pt>
                <c:pt idx="37">
                  <c:v>9.507766595674541</c:v>
                </c:pt>
                <c:pt idx="38">
                  <c:v>7.9115093816551783</c:v>
                </c:pt>
                <c:pt idx="39">
                  <c:v>6.2274817200143433</c:v>
                </c:pt>
                <c:pt idx="40">
                  <c:v>5.5549839642138084</c:v>
                </c:pt>
                <c:pt idx="41">
                  <c:v>5.3383861110726079</c:v>
                </c:pt>
                <c:pt idx="42">
                  <c:v>5.5426804467216755</c:v>
                </c:pt>
                <c:pt idx="43">
                  <c:v>5.7573099561464902</c:v>
                </c:pt>
                <c:pt idx="44">
                  <c:v>4.5927911535113113</c:v>
                </c:pt>
                <c:pt idx="45">
                  <c:v>2.6961320049633604</c:v>
                </c:pt>
                <c:pt idx="46">
                  <c:v>2.0658487960736966</c:v>
                </c:pt>
                <c:pt idx="47">
                  <c:v>2.2888603001480385</c:v>
                </c:pt>
                <c:pt idx="48">
                  <c:v>2.4152321069723883</c:v>
                </c:pt>
                <c:pt idx="49">
                  <c:v>2.8764098447741135</c:v>
                </c:pt>
                <c:pt idx="50">
                  <c:v>2.4381174196466806</c:v>
                </c:pt>
                <c:pt idx="51">
                  <c:v>0.59858382331426707</c:v>
                </c:pt>
                <c:pt idx="52">
                  <c:v>-0.28505860706214498</c:v>
                </c:pt>
                <c:pt idx="53">
                  <c:v>0.16014042678031171</c:v>
                </c:pt>
                <c:pt idx="54">
                  <c:v>0.62730645024697362</c:v>
                </c:pt>
                <c:pt idx="55">
                  <c:v>0.97797817764509531</c:v>
                </c:pt>
                <c:pt idx="56">
                  <c:v>-0.22407835097434539</c:v>
                </c:pt>
                <c:pt idx="57">
                  <c:v>0.37386210053711921</c:v>
                </c:pt>
                <c:pt idx="58">
                  <c:v>1.1489184395648879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14-5B92-43EF-8B00-39A7781006B6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392344304"/>
        <c:axId val="392341424"/>
      </c:scatterChart>
      <c:valAx>
        <c:axId val="392344304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392341424"/>
        <c:crosses val="autoZero"/>
        <c:crossBetween val="midCat"/>
      </c:valAx>
      <c:valAx>
        <c:axId val="39234142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392344304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scatterChart>
        <c:scatterStyle val="smoothMarker"/>
        <c:varyColors val="0"/>
        <c:ser>
          <c:idx val="0"/>
          <c:order val="0"/>
          <c:tx>
            <c:strRef>
              <c:f>Base!$H$1</c:f>
              <c:strCache>
                <c:ptCount val="1"/>
                <c:pt idx="0">
                  <c:v>Y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10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dPt>
            <c:idx val="0"/>
            <c:marker>
              <c:symbol val="circle"/>
              <c:size val="10"/>
              <c:spPr>
                <a:solidFill>
                  <a:srgbClr val="FF0101"/>
                </a:solidFill>
                <a:ln w="9525">
                  <a:solidFill>
                    <a:schemeClr val="accent1"/>
                  </a:solidFill>
                </a:ln>
                <a:effectLst/>
              </c:spPr>
            </c:marker>
            <c:bubble3D val="0"/>
            <c:extLst>
              <c:ext xmlns:c16="http://schemas.microsoft.com/office/drawing/2014/chart" uri="{C3380CC4-5D6E-409C-BE32-E72D297353CC}">
                <c16:uniqueId val="{00000000-4FCF-4386-869F-5835777544B2}"/>
              </c:ext>
            </c:extLst>
          </c:dPt>
          <c:dPt>
            <c:idx val="1"/>
            <c:marker>
              <c:symbol val="circle"/>
              <c:size val="10"/>
              <c:spPr>
                <a:solidFill>
                  <a:srgbClr val="FF0D01"/>
                </a:solidFill>
                <a:ln w="9525">
                  <a:solidFill>
                    <a:schemeClr val="accent1"/>
                  </a:solidFill>
                </a:ln>
                <a:effectLst/>
              </c:spPr>
            </c:marker>
            <c:bubble3D val="0"/>
            <c:extLst>
              <c:ext xmlns:c16="http://schemas.microsoft.com/office/drawing/2014/chart" uri="{C3380CC4-5D6E-409C-BE32-E72D297353CC}">
                <c16:uniqueId val="{00000001-4FCF-4386-869F-5835777544B2}"/>
              </c:ext>
            </c:extLst>
          </c:dPt>
          <c:dPt>
            <c:idx val="2"/>
            <c:marker>
              <c:symbol val="circle"/>
              <c:size val="10"/>
              <c:spPr>
                <a:solidFill>
                  <a:srgbClr val="FF1F01"/>
                </a:solidFill>
                <a:ln w="9525">
                  <a:solidFill>
                    <a:schemeClr val="accent1"/>
                  </a:solidFill>
                </a:ln>
                <a:effectLst/>
              </c:spPr>
            </c:marker>
            <c:bubble3D val="0"/>
            <c:extLst>
              <c:ext xmlns:c16="http://schemas.microsoft.com/office/drawing/2014/chart" uri="{C3380CC4-5D6E-409C-BE32-E72D297353CC}">
                <c16:uniqueId val="{00000002-4FCF-4386-869F-5835777544B2}"/>
              </c:ext>
            </c:extLst>
          </c:dPt>
          <c:dPt>
            <c:idx val="3"/>
            <c:marker>
              <c:symbol val="circle"/>
              <c:size val="10"/>
              <c:spPr>
                <a:solidFill>
                  <a:srgbClr val="FF2B01"/>
                </a:solidFill>
                <a:ln w="9525">
                  <a:solidFill>
                    <a:schemeClr val="accent1"/>
                  </a:solidFill>
                </a:ln>
                <a:effectLst/>
              </c:spPr>
            </c:marker>
            <c:bubble3D val="0"/>
            <c:extLst>
              <c:ext xmlns:c16="http://schemas.microsoft.com/office/drawing/2014/chart" uri="{C3380CC4-5D6E-409C-BE32-E72D297353CC}">
                <c16:uniqueId val="{00000003-4FCF-4386-869F-5835777544B2}"/>
              </c:ext>
            </c:extLst>
          </c:dPt>
          <c:dPt>
            <c:idx val="4"/>
            <c:marker>
              <c:symbol val="circle"/>
              <c:size val="10"/>
              <c:spPr>
                <a:solidFill>
                  <a:srgbClr val="FF3D01"/>
                </a:solidFill>
                <a:ln w="9525">
                  <a:solidFill>
                    <a:schemeClr val="accent1"/>
                  </a:solidFill>
                </a:ln>
                <a:effectLst/>
              </c:spPr>
            </c:marker>
            <c:bubble3D val="0"/>
            <c:extLst>
              <c:ext xmlns:c16="http://schemas.microsoft.com/office/drawing/2014/chart" uri="{C3380CC4-5D6E-409C-BE32-E72D297353CC}">
                <c16:uniqueId val="{00000004-4FCF-4386-869F-5835777544B2}"/>
              </c:ext>
            </c:extLst>
          </c:dPt>
          <c:dPt>
            <c:idx val="5"/>
            <c:marker>
              <c:symbol val="circle"/>
              <c:size val="10"/>
              <c:spPr>
                <a:solidFill>
                  <a:srgbClr val="FF4901"/>
                </a:solidFill>
                <a:ln w="9525">
                  <a:solidFill>
                    <a:schemeClr val="accent1"/>
                  </a:solidFill>
                </a:ln>
                <a:effectLst/>
              </c:spPr>
            </c:marker>
            <c:bubble3D val="0"/>
            <c:extLst>
              <c:ext xmlns:c16="http://schemas.microsoft.com/office/drawing/2014/chart" uri="{C3380CC4-5D6E-409C-BE32-E72D297353CC}">
                <c16:uniqueId val="{00000005-4FCF-4386-869F-5835777544B2}"/>
              </c:ext>
            </c:extLst>
          </c:dPt>
          <c:dPt>
            <c:idx val="6"/>
            <c:marker>
              <c:symbol val="circle"/>
              <c:size val="10"/>
              <c:spPr>
                <a:solidFill>
                  <a:srgbClr val="FF5B01"/>
                </a:solidFill>
                <a:ln w="9525">
                  <a:solidFill>
                    <a:schemeClr val="accent1"/>
                  </a:solidFill>
                </a:ln>
                <a:effectLst/>
              </c:spPr>
            </c:marker>
            <c:bubble3D val="0"/>
            <c:extLst>
              <c:ext xmlns:c16="http://schemas.microsoft.com/office/drawing/2014/chart" uri="{C3380CC4-5D6E-409C-BE32-E72D297353CC}">
                <c16:uniqueId val="{00000006-4FCF-4386-869F-5835777544B2}"/>
              </c:ext>
            </c:extLst>
          </c:dPt>
          <c:dPt>
            <c:idx val="7"/>
            <c:marker>
              <c:symbol val="circle"/>
              <c:size val="10"/>
              <c:spPr>
                <a:solidFill>
                  <a:srgbClr val="FF6701"/>
                </a:solidFill>
                <a:ln w="9525">
                  <a:solidFill>
                    <a:schemeClr val="accent1"/>
                  </a:solidFill>
                </a:ln>
                <a:effectLst/>
              </c:spPr>
            </c:marker>
            <c:bubble3D val="0"/>
            <c:extLst>
              <c:ext xmlns:c16="http://schemas.microsoft.com/office/drawing/2014/chart" uri="{C3380CC4-5D6E-409C-BE32-E72D297353CC}">
                <c16:uniqueId val="{00000007-4FCF-4386-869F-5835777544B2}"/>
              </c:ext>
            </c:extLst>
          </c:dPt>
          <c:dPt>
            <c:idx val="8"/>
            <c:marker>
              <c:symbol val="circle"/>
              <c:size val="10"/>
              <c:spPr>
                <a:solidFill>
                  <a:srgbClr val="FF7901"/>
                </a:solidFill>
                <a:ln w="9525">
                  <a:solidFill>
                    <a:schemeClr val="accent1"/>
                  </a:solidFill>
                </a:ln>
                <a:effectLst/>
              </c:spPr>
            </c:marker>
            <c:bubble3D val="0"/>
            <c:extLst>
              <c:ext xmlns:c16="http://schemas.microsoft.com/office/drawing/2014/chart" uri="{C3380CC4-5D6E-409C-BE32-E72D297353CC}">
                <c16:uniqueId val="{00000008-4FCF-4386-869F-5835777544B2}"/>
              </c:ext>
            </c:extLst>
          </c:dPt>
          <c:dPt>
            <c:idx val="9"/>
            <c:marker>
              <c:symbol val="circle"/>
              <c:size val="10"/>
              <c:spPr>
                <a:solidFill>
                  <a:srgbClr val="FF8401"/>
                </a:solidFill>
                <a:ln w="9525">
                  <a:solidFill>
                    <a:schemeClr val="accent1"/>
                  </a:solidFill>
                </a:ln>
                <a:effectLst/>
              </c:spPr>
            </c:marker>
            <c:bubble3D val="0"/>
            <c:extLst>
              <c:ext xmlns:c16="http://schemas.microsoft.com/office/drawing/2014/chart" uri="{C3380CC4-5D6E-409C-BE32-E72D297353CC}">
                <c16:uniqueId val="{00000009-4FCF-4386-869F-5835777544B2}"/>
              </c:ext>
            </c:extLst>
          </c:dPt>
          <c:dPt>
            <c:idx val="10"/>
            <c:marker>
              <c:symbol val="circle"/>
              <c:size val="10"/>
              <c:spPr>
                <a:solidFill>
                  <a:srgbClr val="FF9601"/>
                </a:solidFill>
                <a:ln w="9525">
                  <a:solidFill>
                    <a:schemeClr val="accent1"/>
                  </a:solidFill>
                </a:ln>
                <a:effectLst/>
              </c:spPr>
            </c:marker>
            <c:bubble3D val="0"/>
            <c:extLst>
              <c:ext xmlns:c16="http://schemas.microsoft.com/office/drawing/2014/chart" uri="{C3380CC4-5D6E-409C-BE32-E72D297353CC}">
                <c16:uniqueId val="{0000000A-4FCF-4386-869F-5835777544B2}"/>
              </c:ext>
            </c:extLst>
          </c:dPt>
          <c:dPt>
            <c:idx val="11"/>
            <c:marker>
              <c:symbol val="circle"/>
              <c:size val="10"/>
              <c:spPr>
                <a:solidFill>
                  <a:srgbClr val="FFA201"/>
                </a:solidFill>
                <a:ln w="9525">
                  <a:solidFill>
                    <a:schemeClr val="accent1"/>
                  </a:solidFill>
                </a:ln>
                <a:effectLst/>
              </c:spPr>
            </c:marker>
            <c:bubble3D val="0"/>
            <c:extLst>
              <c:ext xmlns:c16="http://schemas.microsoft.com/office/drawing/2014/chart" uri="{C3380CC4-5D6E-409C-BE32-E72D297353CC}">
                <c16:uniqueId val="{0000000B-4FCF-4386-869F-5835777544B2}"/>
              </c:ext>
            </c:extLst>
          </c:dPt>
          <c:dPt>
            <c:idx val="12"/>
            <c:marker>
              <c:symbol val="circle"/>
              <c:size val="10"/>
              <c:spPr>
                <a:solidFill>
                  <a:srgbClr val="FFB401"/>
                </a:solidFill>
                <a:ln w="9525">
                  <a:solidFill>
                    <a:schemeClr val="accent1"/>
                  </a:solidFill>
                </a:ln>
                <a:effectLst/>
              </c:spPr>
            </c:marker>
            <c:bubble3D val="0"/>
            <c:extLst>
              <c:ext xmlns:c16="http://schemas.microsoft.com/office/drawing/2014/chart" uri="{C3380CC4-5D6E-409C-BE32-E72D297353CC}">
                <c16:uniqueId val="{0000000C-4FCF-4386-869F-5835777544B2}"/>
              </c:ext>
            </c:extLst>
          </c:dPt>
          <c:dPt>
            <c:idx val="13"/>
            <c:marker>
              <c:symbol val="circle"/>
              <c:size val="10"/>
              <c:spPr>
                <a:solidFill>
                  <a:srgbClr val="FFC001"/>
                </a:solidFill>
                <a:ln w="9525">
                  <a:solidFill>
                    <a:schemeClr val="accent1"/>
                  </a:solidFill>
                </a:ln>
                <a:effectLst/>
              </c:spPr>
            </c:marker>
            <c:bubble3D val="0"/>
            <c:extLst>
              <c:ext xmlns:c16="http://schemas.microsoft.com/office/drawing/2014/chart" uri="{C3380CC4-5D6E-409C-BE32-E72D297353CC}">
                <c16:uniqueId val="{0000000D-4FCF-4386-869F-5835777544B2}"/>
              </c:ext>
            </c:extLst>
          </c:dPt>
          <c:dPt>
            <c:idx val="14"/>
            <c:marker>
              <c:symbol val="circle"/>
              <c:size val="10"/>
              <c:spPr>
                <a:solidFill>
                  <a:srgbClr val="FFD201"/>
                </a:solidFill>
                <a:ln w="9525">
                  <a:solidFill>
                    <a:schemeClr val="accent1"/>
                  </a:solidFill>
                </a:ln>
                <a:effectLst/>
              </c:spPr>
            </c:marker>
            <c:bubble3D val="0"/>
            <c:extLst>
              <c:ext xmlns:c16="http://schemas.microsoft.com/office/drawing/2014/chart" uri="{C3380CC4-5D6E-409C-BE32-E72D297353CC}">
                <c16:uniqueId val="{0000000E-4FCF-4386-869F-5835777544B2}"/>
              </c:ext>
            </c:extLst>
          </c:dPt>
          <c:dPt>
            <c:idx val="15"/>
            <c:marker>
              <c:symbol val="circle"/>
              <c:size val="10"/>
              <c:spPr>
                <a:solidFill>
                  <a:srgbClr val="FFDE01"/>
                </a:solidFill>
                <a:ln w="9525">
                  <a:solidFill>
                    <a:schemeClr val="accent1"/>
                  </a:solidFill>
                </a:ln>
                <a:effectLst/>
              </c:spPr>
            </c:marker>
            <c:bubble3D val="0"/>
            <c:extLst>
              <c:ext xmlns:c16="http://schemas.microsoft.com/office/drawing/2014/chart" uri="{C3380CC4-5D6E-409C-BE32-E72D297353CC}">
                <c16:uniqueId val="{0000000F-4FCF-4386-869F-5835777544B2}"/>
              </c:ext>
            </c:extLst>
          </c:dPt>
          <c:dPt>
            <c:idx val="16"/>
            <c:marker>
              <c:symbol val="circle"/>
              <c:size val="10"/>
              <c:spPr>
                <a:solidFill>
                  <a:srgbClr val="FFF001"/>
                </a:solidFill>
                <a:ln w="9525">
                  <a:solidFill>
                    <a:schemeClr val="accent1"/>
                  </a:solidFill>
                </a:ln>
                <a:effectLst/>
              </c:spPr>
            </c:marker>
            <c:bubble3D val="0"/>
            <c:extLst>
              <c:ext xmlns:c16="http://schemas.microsoft.com/office/drawing/2014/chart" uri="{C3380CC4-5D6E-409C-BE32-E72D297353CC}">
                <c16:uniqueId val="{00000010-4FCF-4386-869F-5835777544B2}"/>
              </c:ext>
            </c:extLst>
          </c:dPt>
          <c:dPt>
            <c:idx val="17"/>
            <c:marker>
              <c:symbol val="circle"/>
              <c:size val="10"/>
              <c:spPr>
                <a:solidFill>
                  <a:srgbClr val="FFFC01"/>
                </a:solidFill>
                <a:ln w="9525">
                  <a:solidFill>
                    <a:schemeClr val="accent1"/>
                  </a:solidFill>
                </a:ln>
                <a:effectLst/>
              </c:spPr>
            </c:marker>
            <c:bubble3D val="0"/>
            <c:extLst>
              <c:ext xmlns:c16="http://schemas.microsoft.com/office/drawing/2014/chart" uri="{C3380CC4-5D6E-409C-BE32-E72D297353CC}">
                <c16:uniqueId val="{00000011-4FCF-4386-869F-5835777544B2}"/>
              </c:ext>
            </c:extLst>
          </c:dPt>
          <c:dPt>
            <c:idx val="18"/>
            <c:marker>
              <c:symbol val="circle"/>
              <c:size val="10"/>
              <c:spPr>
                <a:solidFill>
                  <a:srgbClr val="F0FF01"/>
                </a:solidFill>
                <a:ln w="9525">
                  <a:solidFill>
                    <a:schemeClr val="accent1"/>
                  </a:solidFill>
                </a:ln>
                <a:effectLst/>
              </c:spPr>
            </c:marker>
            <c:bubble3D val="0"/>
            <c:extLst>
              <c:ext xmlns:c16="http://schemas.microsoft.com/office/drawing/2014/chart" uri="{C3380CC4-5D6E-409C-BE32-E72D297353CC}">
                <c16:uniqueId val="{00000012-4FCF-4386-869F-5835777544B2}"/>
              </c:ext>
            </c:extLst>
          </c:dPt>
          <c:dPt>
            <c:idx val="19"/>
            <c:marker>
              <c:symbol val="circle"/>
              <c:size val="10"/>
              <c:spPr>
                <a:solidFill>
                  <a:srgbClr val="E4FF01"/>
                </a:solidFill>
                <a:ln w="9525">
                  <a:solidFill>
                    <a:schemeClr val="accent1"/>
                  </a:solidFill>
                </a:ln>
                <a:effectLst/>
              </c:spPr>
            </c:marker>
            <c:bubble3D val="0"/>
            <c:extLst>
              <c:ext xmlns:c16="http://schemas.microsoft.com/office/drawing/2014/chart" uri="{C3380CC4-5D6E-409C-BE32-E72D297353CC}">
                <c16:uniqueId val="{00000013-4FCF-4386-869F-5835777544B2}"/>
              </c:ext>
            </c:extLst>
          </c:dPt>
          <c:xVal>
            <c:numRef>
              <c:f>Base!$G$2:$G$21</c:f>
              <c:numCache>
                <c:formatCode>General</c:formatCode>
                <c:ptCount val="20"/>
                <c:pt idx="0">
                  <c:v>19.988536834716797</c:v>
                </c:pt>
                <c:pt idx="1">
                  <c:v>17.447378798191611</c:v>
                </c:pt>
                <c:pt idx="2">
                  <c:v>15.620215698107327</c:v>
                </c:pt>
                <c:pt idx="3">
                  <c:v>14.785112240309878</c:v>
                </c:pt>
                <c:pt idx="4">
                  <c:v>15.389990992717337</c:v>
                </c:pt>
                <c:pt idx="5">
                  <c:v>15.226098545388934</c:v>
                </c:pt>
                <c:pt idx="6">
                  <c:v>14.589895416464751</c:v>
                </c:pt>
                <c:pt idx="7">
                  <c:v>14.74495500503205</c:v>
                </c:pt>
                <c:pt idx="8">
                  <c:v>15.954898710465152</c:v>
                </c:pt>
                <c:pt idx="9">
                  <c:v>17.990780575023816</c:v>
                </c:pt>
                <c:pt idx="10">
                  <c:v>21.409704208374023</c:v>
                </c:pt>
                <c:pt idx="11">
                  <c:v>26.960432848167457</c:v>
                </c:pt>
                <c:pt idx="12">
                  <c:v>31.575491836744039</c:v>
                </c:pt>
                <c:pt idx="13">
                  <c:v>34.148806594067821</c:v>
                </c:pt>
                <c:pt idx="14">
                  <c:v>34.300026529564398</c:v>
                </c:pt>
                <c:pt idx="15">
                  <c:v>35.175398321336885</c:v>
                </c:pt>
                <c:pt idx="16">
                  <c:v>34.046503478516627</c:v>
                </c:pt>
                <c:pt idx="17">
                  <c:v>32.856148584398156</c:v>
                </c:pt>
                <c:pt idx="18">
                  <c:v>28.973149472029213</c:v>
                </c:pt>
                <c:pt idx="19">
                  <c:v>24.542546792087542</c:v>
                </c:pt>
              </c:numCache>
            </c:numRef>
          </c:xVal>
          <c:yVal>
            <c:numRef>
              <c:f>Base!$I$2:$I$21</c:f>
              <c:numCache>
                <c:formatCode>General</c:formatCode>
                <c:ptCount val="20"/>
                <c:pt idx="0">
                  <c:v>8.526209831237793</c:v>
                </c:pt>
                <c:pt idx="1">
                  <c:v>7.7378903974518671</c:v>
                </c:pt>
                <c:pt idx="2">
                  <c:v>8.6495438438248442</c:v>
                </c:pt>
                <c:pt idx="3">
                  <c:v>9.21030866933285</c:v>
                </c:pt>
                <c:pt idx="4">
                  <c:v>10.314599169737038</c:v>
                </c:pt>
                <c:pt idx="5">
                  <c:v>11.153500658026353</c:v>
                </c:pt>
                <c:pt idx="6">
                  <c:v>9.9378186291302875</c:v>
                </c:pt>
                <c:pt idx="7">
                  <c:v>9.1086367813538658</c:v>
                </c:pt>
                <c:pt idx="8">
                  <c:v>7.8809415270234533</c:v>
                </c:pt>
                <c:pt idx="9">
                  <c:v>7.2252750852123473</c:v>
                </c:pt>
                <c:pt idx="10">
                  <c:v>8.3503875732421875</c:v>
                </c:pt>
                <c:pt idx="11">
                  <c:v>9.2665027375444762</c:v>
                </c:pt>
                <c:pt idx="12">
                  <c:v>8.3223110361798014</c:v>
                </c:pt>
                <c:pt idx="13">
                  <c:v>5.6309749641018811</c:v>
                </c:pt>
                <c:pt idx="14">
                  <c:v>7.2146699669787111</c:v>
                </c:pt>
                <c:pt idx="15">
                  <c:v>8.7702641455289445</c:v>
                </c:pt>
                <c:pt idx="16">
                  <c:v>10.391627065539124</c:v>
                </c:pt>
                <c:pt idx="17">
                  <c:v>10.022898827638143</c:v>
                </c:pt>
                <c:pt idx="18">
                  <c:v>8.6846130035911049</c:v>
                </c:pt>
                <c:pt idx="19">
                  <c:v>8.3837897434089044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0-8B77-4C94-A359-F5F0F12AA60A}"/>
            </c:ext>
          </c:extLst>
        </c:ser>
        <c:ser>
          <c:idx val="1"/>
          <c:order val="1"/>
          <c:tx>
            <c:v>Arch</c:v>
          </c:tx>
          <c:spPr>
            <a:ln w="19050" cap="rnd">
              <a:solidFill>
                <a:schemeClr val="accent2"/>
              </a:solidFill>
              <a:round/>
            </a:ln>
            <a:effectLst/>
          </c:spPr>
          <c:marker>
            <c:symbol val="none"/>
          </c:marker>
          <c:xVal>
            <c:numRef>
              <c:f>Arch!$G$2:$G$60</c:f>
              <c:numCache>
                <c:formatCode>General</c:formatCode>
                <c:ptCount val="59"/>
                <c:pt idx="0">
                  <c:v>24.622679963595701</c:v>
                </c:pt>
                <c:pt idx="1">
                  <c:v>24.520280818927532</c:v>
                </c:pt>
                <c:pt idx="2">
                  <c:v>24.755659040425844</c:v>
                </c:pt>
                <c:pt idx="3">
                  <c:v>24.115061543554543</c:v>
                </c:pt>
                <c:pt idx="4">
                  <c:v>23.338956005922093</c:v>
                </c:pt>
                <c:pt idx="5">
                  <c:v>22.292674648434559</c:v>
                </c:pt>
                <c:pt idx="6">
                  <c:v>22.169197546790961</c:v>
                </c:pt>
                <c:pt idx="7">
                  <c:v>22.104014582358687</c:v>
                </c:pt>
                <c:pt idx="8">
                  <c:v>21.632988764152898</c:v>
                </c:pt>
                <c:pt idx="9">
                  <c:v>21.43700293748104</c:v>
                </c:pt>
                <c:pt idx="10">
                  <c:v>21.221893044479934</c:v>
                </c:pt>
                <c:pt idx="11">
                  <c:v>20.83054981877909</c:v>
                </c:pt>
                <c:pt idx="12">
                  <c:v>20.689520855524147</c:v>
                </c:pt>
                <c:pt idx="13">
                  <c:v>21.132386503529549</c:v>
                </c:pt>
                <c:pt idx="14">
                  <c:v>21.308851743899311</c:v>
                </c:pt>
                <c:pt idx="15">
                  <c:v>21.508299024556045</c:v>
                </c:pt>
                <c:pt idx="16">
                  <c:v>21.426874066466205</c:v>
                </c:pt>
                <c:pt idx="17">
                  <c:v>21.366639952184471</c:v>
                </c:pt>
                <c:pt idx="18">
                  <c:v>21.707423228288707</c:v>
                </c:pt>
                <c:pt idx="19">
                  <c:v>22.261109588114827</c:v>
                </c:pt>
                <c:pt idx="20">
                  <c:v>22.260416245328017</c:v>
                </c:pt>
                <c:pt idx="21">
                  <c:v>22.338233746134485</c:v>
                </c:pt>
                <c:pt idx="22">
                  <c:v>22.560068464047028</c:v>
                </c:pt>
                <c:pt idx="23">
                  <c:v>22.877085546911371</c:v>
                </c:pt>
                <c:pt idx="24">
                  <c:v>23.234343879444893</c:v>
                </c:pt>
                <c:pt idx="25">
                  <c:v>23.770561698596829</c:v>
                </c:pt>
                <c:pt idx="26">
                  <c:v>23.827803757812049</c:v>
                </c:pt>
                <c:pt idx="27">
                  <c:v>23.586723306680597</c:v>
                </c:pt>
                <c:pt idx="28">
                  <c:v>23.733148483215786</c:v>
                </c:pt>
                <c:pt idx="29">
                  <c:v>23.979730086782489</c:v>
                </c:pt>
                <c:pt idx="30">
                  <c:v>24.324438684983111</c:v>
                </c:pt>
                <c:pt idx="31">
                  <c:v>24.485675123240469</c:v>
                </c:pt>
                <c:pt idx="32">
                  <c:v>24.470009363861553</c:v>
                </c:pt>
                <c:pt idx="33">
                  <c:v>24.459896726036284</c:v>
                </c:pt>
                <c:pt idx="34">
                  <c:v>24.455093359098058</c:v>
                </c:pt>
                <c:pt idx="35">
                  <c:v>24.431491683755802</c:v>
                </c:pt>
                <c:pt idx="36">
                  <c:v>24.527976327045906</c:v>
                </c:pt>
                <c:pt idx="37">
                  <c:v>24.537021062231823</c:v>
                </c:pt>
                <c:pt idx="38">
                  <c:v>24.137546054258323</c:v>
                </c:pt>
                <c:pt idx="39">
                  <c:v>23.7592091449776</c:v>
                </c:pt>
                <c:pt idx="40">
                  <c:v>23.330603877551383</c:v>
                </c:pt>
                <c:pt idx="41">
                  <c:v>22.88185309911043</c:v>
                </c:pt>
                <c:pt idx="42">
                  <c:v>22.513493207502627</c:v>
                </c:pt>
                <c:pt idx="43">
                  <c:v>22.156281667465542</c:v>
                </c:pt>
                <c:pt idx="44">
                  <c:v>21.9669995231333</c:v>
                </c:pt>
                <c:pt idx="45">
                  <c:v>22.012416112600445</c:v>
                </c:pt>
                <c:pt idx="46">
                  <c:v>21.443783146281937</c:v>
                </c:pt>
                <c:pt idx="47">
                  <c:v>21.032719461005691</c:v>
                </c:pt>
                <c:pt idx="48">
                  <c:v>20.953242519246814</c:v>
                </c:pt>
                <c:pt idx="49">
                  <c:v>20.87152035477866</c:v>
                </c:pt>
                <c:pt idx="50">
                  <c:v>20.717899333551085</c:v>
                </c:pt>
                <c:pt idx="51">
                  <c:v>21.247753409758843</c:v>
                </c:pt>
                <c:pt idx="52">
                  <c:v>21.227797044109252</c:v>
                </c:pt>
                <c:pt idx="53">
                  <c:v>21.306296675203484</c:v>
                </c:pt>
                <c:pt idx="54">
                  <c:v>21.365552349383794</c:v>
                </c:pt>
                <c:pt idx="55">
                  <c:v>21.489923790194066</c:v>
                </c:pt>
                <c:pt idx="56">
                  <c:v>21.365248985762349</c:v>
                </c:pt>
                <c:pt idx="57">
                  <c:v>21.371526454211839</c:v>
                </c:pt>
                <c:pt idx="58">
                  <c:v>21.353885388571918</c:v>
                </c:pt>
              </c:numCache>
            </c:numRef>
          </c:xVal>
          <c:yVal>
            <c:numRef>
              <c:f>Arch!$I$2:$I$60</c:f>
              <c:numCache>
                <c:formatCode>General</c:formatCode>
                <c:ptCount val="59"/>
                <c:pt idx="0">
                  <c:v>10.185391954155202</c:v>
                </c:pt>
                <c:pt idx="1">
                  <c:v>11.955278045502313</c:v>
                </c:pt>
                <c:pt idx="2">
                  <c:v>13.717102357227432</c:v>
                </c:pt>
                <c:pt idx="3">
                  <c:v>15.30656950633667</c:v>
                </c:pt>
                <c:pt idx="4">
                  <c:v>16.994504836384529</c:v>
                </c:pt>
                <c:pt idx="5">
                  <c:v>17.883265076945321</c:v>
                </c:pt>
                <c:pt idx="6">
                  <c:v>16.945582828708918</c:v>
                </c:pt>
                <c:pt idx="7">
                  <c:v>18.317267919750801</c:v>
                </c:pt>
                <c:pt idx="8">
                  <c:v>20.098898414394167</c:v>
                </c:pt>
                <c:pt idx="9">
                  <c:v>21.777309685461937</c:v>
                </c:pt>
                <c:pt idx="10">
                  <c:v>23.540770726735566</c:v>
                </c:pt>
                <c:pt idx="11">
                  <c:v>25.345658153082617</c:v>
                </c:pt>
                <c:pt idx="12">
                  <c:v>26.594542276977069</c:v>
                </c:pt>
                <c:pt idx="13">
                  <c:v>26.212947444118498</c:v>
                </c:pt>
                <c:pt idx="14">
                  <c:v>27.877469652013211</c:v>
                </c:pt>
                <c:pt idx="15">
                  <c:v>29.655414348039926</c:v>
                </c:pt>
                <c:pt idx="16">
                  <c:v>31.40691872498909</c:v>
                </c:pt>
                <c:pt idx="17">
                  <c:v>33.293133085104131</c:v>
                </c:pt>
                <c:pt idx="18">
                  <c:v>34.945149912500526</c:v>
                </c:pt>
                <c:pt idx="19">
                  <c:v>35.335891490944988</c:v>
                </c:pt>
                <c:pt idx="20">
                  <c:v>36.001521757842241</c:v>
                </c:pt>
                <c:pt idx="21">
                  <c:v>37.776249494987681</c:v>
                </c:pt>
                <c:pt idx="22">
                  <c:v>39.579742129083563</c:v>
                </c:pt>
                <c:pt idx="23">
                  <c:v>41.327305371845071</c:v>
                </c:pt>
                <c:pt idx="24">
                  <c:v>42.981453570212892</c:v>
                </c:pt>
                <c:pt idx="25">
                  <c:v>43.699378721613265</c:v>
                </c:pt>
                <c:pt idx="26">
                  <c:v>42.811678266629933</c:v>
                </c:pt>
                <c:pt idx="27">
                  <c:v>44.236887106445799</c:v>
                </c:pt>
                <c:pt idx="28">
                  <c:v>45.547207398197607</c:v>
                </c:pt>
                <c:pt idx="29">
                  <c:v>46.928739026425646</c:v>
                </c:pt>
                <c:pt idx="30">
                  <c:v>48.130390786315715</c:v>
                </c:pt>
                <c:pt idx="31">
                  <c:v>47.083244064237419</c:v>
                </c:pt>
                <c:pt idx="32">
                  <c:v>45.213474680230775</c:v>
                </c:pt>
                <c:pt idx="33">
                  <c:v>43.340179713714008</c:v>
                </c:pt>
                <c:pt idx="34">
                  <c:v>41.476584468022338</c:v>
                </c:pt>
                <c:pt idx="35">
                  <c:v>39.695144030400044</c:v>
                </c:pt>
                <c:pt idx="36">
                  <c:v>37.768536845591314</c:v>
                </c:pt>
                <c:pt idx="37">
                  <c:v>36.283406207681949</c:v>
                </c:pt>
                <c:pt idx="38">
                  <c:v>37.277187766067136</c:v>
                </c:pt>
                <c:pt idx="39">
                  <c:v>37.139965704588256</c:v>
                </c:pt>
                <c:pt idx="40">
                  <c:v>35.419653496717828</c:v>
                </c:pt>
                <c:pt idx="41">
                  <c:v>33.622500949684664</c:v>
                </c:pt>
                <c:pt idx="42">
                  <c:v>31.771663124631313</c:v>
                </c:pt>
                <c:pt idx="43">
                  <c:v>29.95220375241863</c:v>
                </c:pt>
                <c:pt idx="44">
                  <c:v>29.644404231620452</c:v>
                </c:pt>
                <c:pt idx="45">
                  <c:v>30.057880177283472</c:v>
                </c:pt>
                <c:pt idx="46">
                  <c:v>28.45216706116004</c:v>
                </c:pt>
                <c:pt idx="47">
                  <c:v>26.593877705343473</c:v>
                </c:pt>
                <c:pt idx="48">
                  <c:v>24.723566146858246</c:v>
                </c:pt>
                <c:pt idx="49">
                  <c:v>22.886746202060998</c:v>
                </c:pt>
                <c:pt idx="50">
                  <c:v>21.306353252629712</c:v>
                </c:pt>
                <c:pt idx="51">
                  <c:v>21.451299616530196</c:v>
                </c:pt>
                <c:pt idx="52">
                  <c:v>20.181016219553182</c:v>
                </c:pt>
                <c:pt idx="53">
                  <c:v>18.286664782775802</c:v>
                </c:pt>
                <c:pt idx="54">
                  <c:v>16.493219574680214</c:v>
                </c:pt>
                <c:pt idx="55">
                  <c:v>14.77949539709789</c:v>
                </c:pt>
                <c:pt idx="56">
                  <c:v>13.702808877601662</c:v>
                </c:pt>
                <c:pt idx="57">
                  <c:v>11.981317988965676</c:v>
                </c:pt>
                <c:pt idx="58">
                  <c:v>10.245592776874039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14-4FCF-4386-869F-5835777544B2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392344304"/>
        <c:axId val="392341424"/>
      </c:scatterChart>
      <c:valAx>
        <c:axId val="392344304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392341424"/>
        <c:crosses val="autoZero"/>
        <c:crossBetween val="midCat"/>
      </c:valAx>
      <c:valAx>
        <c:axId val="39234142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392344304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 orientation="portrait"/>
  </c:printSettings>
</c:chartSpace>
</file>

<file path=xl/charts/chart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scatterChart>
        <c:scatterStyle val="smoothMarker"/>
        <c:varyColors val="0"/>
        <c:ser>
          <c:idx val="0"/>
          <c:order val="0"/>
          <c:tx>
            <c:strRef>
              <c:f>Arch!$H$1</c:f>
              <c:strCache>
                <c:ptCount val="1"/>
                <c:pt idx="0">
                  <c:v>Y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10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dPt>
            <c:idx val="0"/>
            <c:marker>
              <c:symbol val="circle"/>
              <c:size val="10"/>
              <c:spPr>
                <a:solidFill>
                  <a:srgbClr val="D2FF01"/>
                </a:solidFill>
                <a:ln w="9525">
                  <a:solidFill>
                    <a:schemeClr val="accent1"/>
                  </a:solidFill>
                </a:ln>
                <a:effectLst/>
              </c:spPr>
            </c:marker>
            <c:bubble3D val="0"/>
            <c:extLst>
              <c:ext xmlns:c16="http://schemas.microsoft.com/office/drawing/2014/chart" uri="{C3380CC4-5D6E-409C-BE32-E72D297353CC}">
                <c16:uniqueId val="{00000000-3E43-476D-B1CE-56F357F502DD}"/>
              </c:ext>
            </c:extLst>
          </c:dPt>
          <c:dPt>
            <c:idx val="1"/>
            <c:marker>
              <c:symbol val="circle"/>
              <c:size val="10"/>
              <c:spPr>
                <a:solidFill>
                  <a:srgbClr val="C6FF01"/>
                </a:solidFill>
                <a:ln w="9525">
                  <a:solidFill>
                    <a:schemeClr val="accent1"/>
                  </a:solidFill>
                </a:ln>
                <a:effectLst/>
              </c:spPr>
            </c:marker>
            <c:bubble3D val="0"/>
            <c:extLst>
              <c:ext xmlns:c16="http://schemas.microsoft.com/office/drawing/2014/chart" uri="{C3380CC4-5D6E-409C-BE32-E72D297353CC}">
                <c16:uniqueId val="{00000001-3E43-476D-B1CE-56F357F502DD}"/>
              </c:ext>
            </c:extLst>
          </c:dPt>
          <c:dPt>
            <c:idx val="2"/>
            <c:marker>
              <c:symbol val="circle"/>
              <c:size val="10"/>
              <c:spPr>
                <a:solidFill>
                  <a:srgbClr val="B4FF01"/>
                </a:solidFill>
                <a:ln w="9525">
                  <a:solidFill>
                    <a:schemeClr val="accent1"/>
                  </a:solidFill>
                </a:ln>
                <a:effectLst/>
              </c:spPr>
            </c:marker>
            <c:bubble3D val="0"/>
            <c:extLst>
              <c:ext xmlns:c16="http://schemas.microsoft.com/office/drawing/2014/chart" uri="{C3380CC4-5D6E-409C-BE32-E72D297353CC}">
                <c16:uniqueId val="{00000002-3E43-476D-B1CE-56F357F502DD}"/>
              </c:ext>
            </c:extLst>
          </c:dPt>
          <c:dPt>
            <c:idx val="3"/>
            <c:marker>
              <c:symbol val="circle"/>
              <c:size val="10"/>
              <c:spPr>
                <a:solidFill>
                  <a:srgbClr val="A8FF01"/>
                </a:solidFill>
                <a:ln w="9525">
                  <a:solidFill>
                    <a:schemeClr val="accent1"/>
                  </a:solidFill>
                </a:ln>
                <a:effectLst/>
              </c:spPr>
            </c:marker>
            <c:bubble3D val="0"/>
            <c:extLst>
              <c:ext xmlns:c16="http://schemas.microsoft.com/office/drawing/2014/chart" uri="{C3380CC4-5D6E-409C-BE32-E72D297353CC}">
                <c16:uniqueId val="{00000003-3E43-476D-B1CE-56F357F502DD}"/>
              </c:ext>
            </c:extLst>
          </c:dPt>
          <c:dPt>
            <c:idx val="4"/>
            <c:marker>
              <c:symbol val="circle"/>
              <c:size val="10"/>
              <c:spPr>
                <a:solidFill>
                  <a:srgbClr val="96FF01"/>
                </a:solidFill>
                <a:ln w="9525">
                  <a:solidFill>
                    <a:schemeClr val="accent1"/>
                  </a:solidFill>
                </a:ln>
                <a:effectLst/>
              </c:spPr>
            </c:marker>
            <c:bubble3D val="0"/>
            <c:extLst>
              <c:ext xmlns:c16="http://schemas.microsoft.com/office/drawing/2014/chart" uri="{C3380CC4-5D6E-409C-BE32-E72D297353CC}">
                <c16:uniqueId val="{00000004-3E43-476D-B1CE-56F357F502DD}"/>
              </c:ext>
            </c:extLst>
          </c:dPt>
          <c:dPt>
            <c:idx val="5"/>
            <c:marker>
              <c:symbol val="circle"/>
              <c:size val="10"/>
              <c:spPr>
                <a:solidFill>
                  <a:srgbClr val="8AFF01"/>
                </a:solidFill>
                <a:ln w="9525">
                  <a:solidFill>
                    <a:schemeClr val="accent1"/>
                  </a:solidFill>
                </a:ln>
                <a:effectLst/>
              </c:spPr>
            </c:marker>
            <c:bubble3D val="0"/>
            <c:extLst>
              <c:ext xmlns:c16="http://schemas.microsoft.com/office/drawing/2014/chart" uri="{C3380CC4-5D6E-409C-BE32-E72D297353CC}">
                <c16:uniqueId val="{00000005-3E43-476D-B1CE-56F357F502DD}"/>
              </c:ext>
            </c:extLst>
          </c:dPt>
          <c:dPt>
            <c:idx val="6"/>
            <c:marker>
              <c:symbol val="circle"/>
              <c:size val="10"/>
              <c:spPr>
                <a:solidFill>
                  <a:srgbClr val="79FF01"/>
                </a:solidFill>
                <a:ln w="9525">
                  <a:solidFill>
                    <a:schemeClr val="accent1"/>
                  </a:solidFill>
                </a:ln>
                <a:effectLst/>
              </c:spPr>
            </c:marker>
            <c:bubble3D val="0"/>
            <c:extLst>
              <c:ext xmlns:c16="http://schemas.microsoft.com/office/drawing/2014/chart" uri="{C3380CC4-5D6E-409C-BE32-E72D297353CC}">
                <c16:uniqueId val="{00000006-3E43-476D-B1CE-56F357F502DD}"/>
              </c:ext>
            </c:extLst>
          </c:dPt>
          <c:dPt>
            <c:idx val="7"/>
            <c:marker>
              <c:symbol val="circle"/>
              <c:size val="10"/>
              <c:spPr>
                <a:solidFill>
                  <a:srgbClr val="6DFF01"/>
                </a:solidFill>
                <a:ln w="9525">
                  <a:solidFill>
                    <a:schemeClr val="accent1"/>
                  </a:solidFill>
                </a:ln>
                <a:effectLst/>
              </c:spPr>
            </c:marker>
            <c:bubble3D val="0"/>
            <c:extLst>
              <c:ext xmlns:c16="http://schemas.microsoft.com/office/drawing/2014/chart" uri="{C3380CC4-5D6E-409C-BE32-E72D297353CC}">
                <c16:uniqueId val="{00000007-3E43-476D-B1CE-56F357F502DD}"/>
              </c:ext>
            </c:extLst>
          </c:dPt>
          <c:dPt>
            <c:idx val="8"/>
            <c:marker>
              <c:symbol val="circle"/>
              <c:size val="10"/>
              <c:spPr>
                <a:solidFill>
                  <a:srgbClr val="5BFF01"/>
                </a:solidFill>
                <a:ln w="9525">
                  <a:solidFill>
                    <a:schemeClr val="accent1"/>
                  </a:solidFill>
                </a:ln>
                <a:effectLst/>
              </c:spPr>
            </c:marker>
            <c:bubble3D val="0"/>
            <c:extLst>
              <c:ext xmlns:c16="http://schemas.microsoft.com/office/drawing/2014/chart" uri="{C3380CC4-5D6E-409C-BE32-E72D297353CC}">
                <c16:uniqueId val="{00000008-3E43-476D-B1CE-56F357F502DD}"/>
              </c:ext>
            </c:extLst>
          </c:dPt>
          <c:dPt>
            <c:idx val="9"/>
            <c:marker>
              <c:symbol val="circle"/>
              <c:size val="10"/>
              <c:spPr>
                <a:solidFill>
                  <a:srgbClr val="4FFF01"/>
                </a:solidFill>
                <a:ln w="9525">
                  <a:solidFill>
                    <a:schemeClr val="accent1"/>
                  </a:solidFill>
                </a:ln>
                <a:effectLst/>
              </c:spPr>
            </c:marker>
            <c:bubble3D val="0"/>
            <c:extLst>
              <c:ext xmlns:c16="http://schemas.microsoft.com/office/drawing/2014/chart" uri="{C3380CC4-5D6E-409C-BE32-E72D297353CC}">
                <c16:uniqueId val="{00000009-3E43-476D-B1CE-56F357F502DD}"/>
              </c:ext>
            </c:extLst>
          </c:dPt>
          <c:dPt>
            <c:idx val="10"/>
            <c:marker>
              <c:symbol val="circle"/>
              <c:size val="10"/>
              <c:spPr>
                <a:solidFill>
                  <a:srgbClr val="3DFF01"/>
                </a:solidFill>
                <a:ln w="9525">
                  <a:solidFill>
                    <a:schemeClr val="accent1"/>
                  </a:solidFill>
                </a:ln>
                <a:effectLst/>
              </c:spPr>
            </c:marker>
            <c:bubble3D val="0"/>
            <c:extLst>
              <c:ext xmlns:c16="http://schemas.microsoft.com/office/drawing/2014/chart" uri="{C3380CC4-5D6E-409C-BE32-E72D297353CC}">
                <c16:uniqueId val="{0000000A-3E43-476D-B1CE-56F357F502DD}"/>
              </c:ext>
            </c:extLst>
          </c:dPt>
          <c:dPt>
            <c:idx val="11"/>
            <c:marker>
              <c:symbol val="circle"/>
              <c:size val="10"/>
              <c:spPr>
                <a:solidFill>
                  <a:srgbClr val="31FF01"/>
                </a:solidFill>
                <a:ln w="9525">
                  <a:solidFill>
                    <a:schemeClr val="accent1"/>
                  </a:solidFill>
                </a:ln>
                <a:effectLst/>
              </c:spPr>
            </c:marker>
            <c:bubble3D val="0"/>
            <c:extLst>
              <c:ext xmlns:c16="http://schemas.microsoft.com/office/drawing/2014/chart" uri="{C3380CC4-5D6E-409C-BE32-E72D297353CC}">
                <c16:uniqueId val="{0000000B-3E43-476D-B1CE-56F357F502DD}"/>
              </c:ext>
            </c:extLst>
          </c:dPt>
          <c:dPt>
            <c:idx val="12"/>
            <c:marker>
              <c:symbol val="circle"/>
              <c:size val="10"/>
              <c:spPr>
                <a:solidFill>
                  <a:srgbClr val="1FFF01"/>
                </a:solidFill>
                <a:ln w="9525">
                  <a:solidFill>
                    <a:schemeClr val="accent1"/>
                  </a:solidFill>
                </a:ln>
                <a:effectLst/>
              </c:spPr>
            </c:marker>
            <c:bubble3D val="0"/>
            <c:extLst>
              <c:ext xmlns:c16="http://schemas.microsoft.com/office/drawing/2014/chart" uri="{C3380CC4-5D6E-409C-BE32-E72D297353CC}">
                <c16:uniqueId val="{0000000C-3E43-476D-B1CE-56F357F502DD}"/>
              </c:ext>
            </c:extLst>
          </c:dPt>
          <c:dPt>
            <c:idx val="13"/>
            <c:marker>
              <c:symbol val="circle"/>
              <c:size val="10"/>
              <c:spPr>
                <a:solidFill>
                  <a:srgbClr val="13FF01"/>
                </a:solidFill>
                <a:ln w="9525">
                  <a:solidFill>
                    <a:schemeClr val="accent1"/>
                  </a:solidFill>
                </a:ln>
                <a:effectLst/>
              </c:spPr>
            </c:marker>
            <c:bubble3D val="0"/>
            <c:extLst>
              <c:ext xmlns:c16="http://schemas.microsoft.com/office/drawing/2014/chart" uri="{C3380CC4-5D6E-409C-BE32-E72D297353CC}">
                <c16:uniqueId val="{0000000D-3E43-476D-B1CE-56F357F502DD}"/>
              </c:ext>
            </c:extLst>
          </c:dPt>
          <c:dPt>
            <c:idx val="14"/>
            <c:marker>
              <c:symbol val="circle"/>
              <c:size val="10"/>
              <c:spPr>
                <a:solidFill>
                  <a:srgbClr val="01FF01"/>
                </a:solidFill>
                <a:ln w="9525">
                  <a:solidFill>
                    <a:schemeClr val="accent1"/>
                  </a:solidFill>
                </a:ln>
                <a:effectLst/>
              </c:spPr>
            </c:marker>
            <c:bubble3D val="0"/>
            <c:extLst>
              <c:ext xmlns:c16="http://schemas.microsoft.com/office/drawing/2014/chart" uri="{C3380CC4-5D6E-409C-BE32-E72D297353CC}">
                <c16:uniqueId val="{0000000E-3E43-476D-B1CE-56F357F502DD}"/>
              </c:ext>
            </c:extLst>
          </c:dPt>
          <c:dPt>
            <c:idx val="15"/>
            <c:marker>
              <c:symbol val="circle"/>
              <c:size val="10"/>
              <c:spPr>
                <a:solidFill>
                  <a:srgbClr val="01FF0D"/>
                </a:solidFill>
                <a:ln w="9525">
                  <a:solidFill>
                    <a:schemeClr val="accent1"/>
                  </a:solidFill>
                </a:ln>
                <a:effectLst/>
              </c:spPr>
            </c:marker>
            <c:bubble3D val="0"/>
            <c:extLst>
              <c:ext xmlns:c16="http://schemas.microsoft.com/office/drawing/2014/chart" uri="{C3380CC4-5D6E-409C-BE32-E72D297353CC}">
                <c16:uniqueId val="{0000000F-3E43-476D-B1CE-56F357F502DD}"/>
              </c:ext>
            </c:extLst>
          </c:dPt>
          <c:dPt>
            <c:idx val="16"/>
            <c:marker>
              <c:symbol val="circle"/>
              <c:size val="10"/>
              <c:spPr>
                <a:solidFill>
                  <a:srgbClr val="01FF1F"/>
                </a:solidFill>
                <a:ln w="9525">
                  <a:solidFill>
                    <a:schemeClr val="accent1"/>
                  </a:solidFill>
                </a:ln>
                <a:effectLst/>
              </c:spPr>
            </c:marker>
            <c:bubble3D val="0"/>
            <c:extLst>
              <c:ext xmlns:c16="http://schemas.microsoft.com/office/drawing/2014/chart" uri="{C3380CC4-5D6E-409C-BE32-E72D297353CC}">
                <c16:uniqueId val="{00000010-3E43-476D-B1CE-56F357F502DD}"/>
              </c:ext>
            </c:extLst>
          </c:dPt>
          <c:dPt>
            <c:idx val="17"/>
            <c:marker>
              <c:symbol val="circle"/>
              <c:size val="10"/>
              <c:spPr>
                <a:solidFill>
                  <a:srgbClr val="01FF2B"/>
                </a:solidFill>
                <a:ln w="9525">
                  <a:solidFill>
                    <a:schemeClr val="accent1"/>
                  </a:solidFill>
                </a:ln>
                <a:effectLst/>
              </c:spPr>
            </c:marker>
            <c:bubble3D val="0"/>
            <c:extLst>
              <c:ext xmlns:c16="http://schemas.microsoft.com/office/drawing/2014/chart" uri="{C3380CC4-5D6E-409C-BE32-E72D297353CC}">
                <c16:uniqueId val="{00000011-3E43-476D-B1CE-56F357F502DD}"/>
              </c:ext>
            </c:extLst>
          </c:dPt>
          <c:dPt>
            <c:idx val="18"/>
            <c:marker>
              <c:symbol val="circle"/>
              <c:size val="10"/>
              <c:spPr>
                <a:solidFill>
                  <a:srgbClr val="01FF3D"/>
                </a:solidFill>
                <a:ln w="9525">
                  <a:solidFill>
                    <a:schemeClr val="accent1"/>
                  </a:solidFill>
                </a:ln>
                <a:effectLst/>
              </c:spPr>
            </c:marker>
            <c:bubble3D val="0"/>
            <c:extLst>
              <c:ext xmlns:c16="http://schemas.microsoft.com/office/drawing/2014/chart" uri="{C3380CC4-5D6E-409C-BE32-E72D297353CC}">
                <c16:uniqueId val="{00000012-3E43-476D-B1CE-56F357F502DD}"/>
              </c:ext>
            </c:extLst>
          </c:dPt>
          <c:dPt>
            <c:idx val="19"/>
            <c:marker>
              <c:symbol val="circle"/>
              <c:size val="10"/>
              <c:spPr>
                <a:solidFill>
                  <a:srgbClr val="01FF49"/>
                </a:solidFill>
                <a:ln w="9525">
                  <a:solidFill>
                    <a:schemeClr val="accent1"/>
                  </a:solidFill>
                </a:ln>
                <a:effectLst/>
              </c:spPr>
            </c:marker>
            <c:bubble3D val="0"/>
            <c:extLst>
              <c:ext xmlns:c16="http://schemas.microsoft.com/office/drawing/2014/chart" uri="{C3380CC4-5D6E-409C-BE32-E72D297353CC}">
                <c16:uniqueId val="{00000014-9C4E-4E76-B33E-BE5485487B01}"/>
              </c:ext>
            </c:extLst>
          </c:dPt>
          <c:dPt>
            <c:idx val="20"/>
            <c:marker>
              <c:symbol val="circle"/>
              <c:size val="10"/>
              <c:spPr>
                <a:solidFill>
                  <a:srgbClr val="01FF5B"/>
                </a:solidFill>
                <a:ln w="9525">
                  <a:solidFill>
                    <a:schemeClr val="accent1"/>
                  </a:solidFill>
                </a:ln>
                <a:effectLst/>
              </c:spPr>
            </c:marker>
            <c:bubble3D val="0"/>
            <c:extLst>
              <c:ext xmlns:c16="http://schemas.microsoft.com/office/drawing/2014/chart" uri="{C3380CC4-5D6E-409C-BE32-E72D297353CC}">
                <c16:uniqueId val="{00000015-9C4E-4E76-B33E-BE5485487B01}"/>
              </c:ext>
            </c:extLst>
          </c:dPt>
          <c:dPt>
            <c:idx val="21"/>
            <c:marker>
              <c:symbol val="circle"/>
              <c:size val="10"/>
              <c:spPr>
                <a:solidFill>
                  <a:srgbClr val="01FF67"/>
                </a:solidFill>
                <a:ln w="9525">
                  <a:solidFill>
                    <a:schemeClr val="accent1"/>
                  </a:solidFill>
                </a:ln>
                <a:effectLst/>
              </c:spPr>
            </c:marker>
            <c:bubble3D val="0"/>
            <c:extLst>
              <c:ext xmlns:c16="http://schemas.microsoft.com/office/drawing/2014/chart" uri="{C3380CC4-5D6E-409C-BE32-E72D297353CC}">
                <c16:uniqueId val="{00000016-9C4E-4E76-B33E-BE5485487B01}"/>
              </c:ext>
            </c:extLst>
          </c:dPt>
          <c:dPt>
            <c:idx val="22"/>
            <c:marker>
              <c:symbol val="circle"/>
              <c:size val="10"/>
              <c:spPr>
                <a:solidFill>
                  <a:srgbClr val="01FF79"/>
                </a:solidFill>
                <a:ln w="9525">
                  <a:solidFill>
                    <a:schemeClr val="accent1"/>
                  </a:solidFill>
                </a:ln>
                <a:effectLst/>
              </c:spPr>
            </c:marker>
            <c:bubble3D val="0"/>
            <c:extLst>
              <c:ext xmlns:c16="http://schemas.microsoft.com/office/drawing/2014/chart" uri="{C3380CC4-5D6E-409C-BE32-E72D297353CC}">
                <c16:uniqueId val="{00000017-9C4E-4E76-B33E-BE5485487B01}"/>
              </c:ext>
            </c:extLst>
          </c:dPt>
          <c:dPt>
            <c:idx val="23"/>
            <c:marker>
              <c:symbol val="circle"/>
              <c:size val="10"/>
              <c:spPr>
                <a:solidFill>
                  <a:srgbClr val="01FF84"/>
                </a:solidFill>
                <a:ln w="9525">
                  <a:solidFill>
                    <a:schemeClr val="accent1"/>
                  </a:solidFill>
                </a:ln>
                <a:effectLst/>
              </c:spPr>
            </c:marker>
            <c:bubble3D val="0"/>
            <c:extLst>
              <c:ext xmlns:c16="http://schemas.microsoft.com/office/drawing/2014/chart" uri="{C3380CC4-5D6E-409C-BE32-E72D297353CC}">
                <c16:uniqueId val="{00000018-9C4E-4E76-B33E-BE5485487B01}"/>
              </c:ext>
            </c:extLst>
          </c:dPt>
          <c:dPt>
            <c:idx val="24"/>
            <c:marker>
              <c:symbol val="circle"/>
              <c:size val="10"/>
              <c:spPr>
                <a:solidFill>
                  <a:srgbClr val="01FF96"/>
                </a:solidFill>
                <a:ln w="9525">
                  <a:solidFill>
                    <a:schemeClr val="accent1"/>
                  </a:solidFill>
                </a:ln>
                <a:effectLst/>
              </c:spPr>
            </c:marker>
            <c:bubble3D val="0"/>
            <c:extLst>
              <c:ext xmlns:c16="http://schemas.microsoft.com/office/drawing/2014/chart" uri="{C3380CC4-5D6E-409C-BE32-E72D297353CC}">
                <c16:uniqueId val="{00000019-9C4E-4E76-B33E-BE5485487B01}"/>
              </c:ext>
            </c:extLst>
          </c:dPt>
          <c:dPt>
            <c:idx val="25"/>
            <c:marker>
              <c:symbol val="circle"/>
              <c:size val="10"/>
              <c:spPr>
                <a:solidFill>
                  <a:srgbClr val="01FFA2"/>
                </a:solidFill>
                <a:ln w="9525">
                  <a:solidFill>
                    <a:schemeClr val="accent1"/>
                  </a:solidFill>
                </a:ln>
                <a:effectLst/>
              </c:spPr>
            </c:marker>
            <c:bubble3D val="0"/>
            <c:extLst>
              <c:ext xmlns:c16="http://schemas.microsoft.com/office/drawing/2014/chart" uri="{C3380CC4-5D6E-409C-BE32-E72D297353CC}">
                <c16:uniqueId val="{0000001A-9C4E-4E76-B33E-BE5485487B01}"/>
              </c:ext>
            </c:extLst>
          </c:dPt>
          <c:dPt>
            <c:idx val="26"/>
            <c:marker>
              <c:symbol val="circle"/>
              <c:size val="10"/>
              <c:spPr>
                <a:solidFill>
                  <a:srgbClr val="01FFB4"/>
                </a:solidFill>
                <a:ln w="9525">
                  <a:solidFill>
                    <a:schemeClr val="accent1"/>
                  </a:solidFill>
                </a:ln>
                <a:effectLst/>
              </c:spPr>
            </c:marker>
            <c:bubble3D val="0"/>
            <c:extLst>
              <c:ext xmlns:c16="http://schemas.microsoft.com/office/drawing/2014/chart" uri="{C3380CC4-5D6E-409C-BE32-E72D297353CC}">
                <c16:uniqueId val="{0000001B-9C4E-4E76-B33E-BE5485487B01}"/>
              </c:ext>
            </c:extLst>
          </c:dPt>
          <c:dPt>
            <c:idx val="27"/>
            <c:marker>
              <c:symbol val="circle"/>
              <c:size val="10"/>
              <c:spPr>
                <a:solidFill>
                  <a:srgbClr val="01FFC0"/>
                </a:solidFill>
                <a:ln w="9525">
                  <a:solidFill>
                    <a:schemeClr val="accent1"/>
                  </a:solidFill>
                </a:ln>
                <a:effectLst/>
              </c:spPr>
            </c:marker>
            <c:bubble3D val="0"/>
            <c:extLst>
              <c:ext xmlns:c16="http://schemas.microsoft.com/office/drawing/2014/chart" uri="{C3380CC4-5D6E-409C-BE32-E72D297353CC}">
                <c16:uniqueId val="{0000001C-9C4E-4E76-B33E-BE5485487B01}"/>
              </c:ext>
            </c:extLst>
          </c:dPt>
          <c:dPt>
            <c:idx val="28"/>
            <c:marker>
              <c:symbol val="circle"/>
              <c:size val="10"/>
              <c:spPr>
                <a:solidFill>
                  <a:srgbClr val="01FFD2"/>
                </a:solidFill>
                <a:ln w="9525">
                  <a:solidFill>
                    <a:schemeClr val="accent1"/>
                  </a:solidFill>
                </a:ln>
                <a:effectLst/>
              </c:spPr>
            </c:marker>
            <c:bubble3D val="0"/>
            <c:extLst>
              <c:ext xmlns:c16="http://schemas.microsoft.com/office/drawing/2014/chart" uri="{C3380CC4-5D6E-409C-BE32-E72D297353CC}">
                <c16:uniqueId val="{0000001D-9C4E-4E76-B33E-BE5485487B01}"/>
              </c:ext>
            </c:extLst>
          </c:dPt>
          <c:dPt>
            <c:idx val="29"/>
            <c:marker>
              <c:symbol val="circle"/>
              <c:size val="10"/>
              <c:spPr>
                <a:solidFill>
                  <a:srgbClr val="01FFDE"/>
                </a:solidFill>
                <a:ln w="9525">
                  <a:solidFill>
                    <a:schemeClr val="accent1"/>
                  </a:solidFill>
                </a:ln>
                <a:effectLst/>
              </c:spPr>
            </c:marker>
            <c:bubble3D val="0"/>
            <c:extLst>
              <c:ext xmlns:c16="http://schemas.microsoft.com/office/drawing/2014/chart" uri="{C3380CC4-5D6E-409C-BE32-E72D297353CC}">
                <c16:uniqueId val="{0000001E-9C4E-4E76-B33E-BE5485487B01}"/>
              </c:ext>
            </c:extLst>
          </c:dPt>
          <c:dPt>
            <c:idx val="30"/>
            <c:marker>
              <c:symbol val="circle"/>
              <c:size val="10"/>
              <c:spPr>
                <a:solidFill>
                  <a:srgbClr val="01FFF0"/>
                </a:solidFill>
                <a:ln w="9525">
                  <a:solidFill>
                    <a:schemeClr val="accent1"/>
                  </a:solidFill>
                </a:ln>
                <a:effectLst/>
              </c:spPr>
            </c:marker>
            <c:bubble3D val="0"/>
            <c:extLst>
              <c:ext xmlns:c16="http://schemas.microsoft.com/office/drawing/2014/chart" uri="{C3380CC4-5D6E-409C-BE32-E72D297353CC}">
                <c16:uniqueId val="{0000001F-9C4E-4E76-B33E-BE5485487B01}"/>
              </c:ext>
            </c:extLst>
          </c:dPt>
          <c:dPt>
            <c:idx val="31"/>
            <c:marker>
              <c:symbol val="circle"/>
              <c:size val="10"/>
              <c:spPr>
                <a:solidFill>
                  <a:srgbClr val="01FFFC"/>
                </a:solidFill>
                <a:ln w="9525">
                  <a:solidFill>
                    <a:schemeClr val="accent1"/>
                  </a:solidFill>
                </a:ln>
                <a:effectLst/>
              </c:spPr>
            </c:marker>
            <c:bubble3D val="0"/>
            <c:extLst>
              <c:ext xmlns:c16="http://schemas.microsoft.com/office/drawing/2014/chart" uri="{C3380CC4-5D6E-409C-BE32-E72D297353CC}">
                <c16:uniqueId val="{00000020-9C4E-4E76-B33E-BE5485487B01}"/>
              </c:ext>
            </c:extLst>
          </c:dPt>
          <c:dPt>
            <c:idx val="32"/>
            <c:marker>
              <c:symbol val="circle"/>
              <c:size val="10"/>
              <c:spPr>
                <a:solidFill>
                  <a:srgbClr val="01F0FF"/>
                </a:solidFill>
                <a:ln w="9525">
                  <a:solidFill>
                    <a:schemeClr val="accent1"/>
                  </a:solidFill>
                </a:ln>
                <a:effectLst/>
              </c:spPr>
            </c:marker>
            <c:bubble3D val="0"/>
            <c:extLst>
              <c:ext xmlns:c16="http://schemas.microsoft.com/office/drawing/2014/chart" uri="{C3380CC4-5D6E-409C-BE32-E72D297353CC}">
                <c16:uniqueId val="{00000021-9C4E-4E76-B33E-BE5485487B01}"/>
              </c:ext>
            </c:extLst>
          </c:dPt>
          <c:dPt>
            <c:idx val="33"/>
            <c:marker>
              <c:symbol val="circle"/>
              <c:size val="10"/>
              <c:spPr>
                <a:solidFill>
                  <a:srgbClr val="01E4FF"/>
                </a:solidFill>
                <a:ln w="9525">
                  <a:solidFill>
                    <a:schemeClr val="accent1"/>
                  </a:solidFill>
                </a:ln>
                <a:effectLst/>
              </c:spPr>
            </c:marker>
            <c:bubble3D val="0"/>
            <c:extLst>
              <c:ext xmlns:c16="http://schemas.microsoft.com/office/drawing/2014/chart" uri="{C3380CC4-5D6E-409C-BE32-E72D297353CC}">
                <c16:uniqueId val="{00000022-9C4E-4E76-B33E-BE5485487B01}"/>
              </c:ext>
            </c:extLst>
          </c:dPt>
          <c:dPt>
            <c:idx val="34"/>
            <c:marker>
              <c:symbol val="circle"/>
              <c:size val="10"/>
              <c:spPr>
                <a:solidFill>
                  <a:srgbClr val="01D2FF"/>
                </a:solidFill>
                <a:ln w="9525">
                  <a:solidFill>
                    <a:schemeClr val="accent1"/>
                  </a:solidFill>
                </a:ln>
                <a:effectLst/>
              </c:spPr>
            </c:marker>
            <c:bubble3D val="0"/>
            <c:extLst>
              <c:ext xmlns:c16="http://schemas.microsoft.com/office/drawing/2014/chart" uri="{C3380CC4-5D6E-409C-BE32-E72D297353CC}">
                <c16:uniqueId val="{00000023-9C4E-4E76-B33E-BE5485487B01}"/>
              </c:ext>
            </c:extLst>
          </c:dPt>
          <c:dPt>
            <c:idx val="35"/>
            <c:marker>
              <c:symbol val="circle"/>
              <c:size val="10"/>
              <c:spPr>
                <a:solidFill>
                  <a:srgbClr val="01C6FF"/>
                </a:solidFill>
                <a:ln w="9525">
                  <a:solidFill>
                    <a:schemeClr val="accent1"/>
                  </a:solidFill>
                </a:ln>
                <a:effectLst/>
              </c:spPr>
            </c:marker>
            <c:bubble3D val="0"/>
            <c:extLst>
              <c:ext xmlns:c16="http://schemas.microsoft.com/office/drawing/2014/chart" uri="{C3380CC4-5D6E-409C-BE32-E72D297353CC}">
                <c16:uniqueId val="{00000024-9C4E-4E76-B33E-BE5485487B01}"/>
              </c:ext>
            </c:extLst>
          </c:dPt>
          <c:dPt>
            <c:idx val="36"/>
            <c:marker>
              <c:symbol val="circle"/>
              <c:size val="10"/>
              <c:spPr>
                <a:solidFill>
                  <a:srgbClr val="01B4FF"/>
                </a:solidFill>
                <a:ln w="9525">
                  <a:solidFill>
                    <a:schemeClr val="accent1"/>
                  </a:solidFill>
                </a:ln>
                <a:effectLst/>
              </c:spPr>
            </c:marker>
            <c:bubble3D val="0"/>
            <c:extLst>
              <c:ext xmlns:c16="http://schemas.microsoft.com/office/drawing/2014/chart" uri="{C3380CC4-5D6E-409C-BE32-E72D297353CC}">
                <c16:uniqueId val="{00000025-9C4E-4E76-B33E-BE5485487B01}"/>
              </c:ext>
            </c:extLst>
          </c:dPt>
          <c:dPt>
            <c:idx val="37"/>
            <c:marker>
              <c:symbol val="circle"/>
              <c:size val="10"/>
              <c:spPr>
                <a:solidFill>
                  <a:srgbClr val="01A8FF"/>
                </a:solidFill>
                <a:ln w="9525">
                  <a:solidFill>
                    <a:schemeClr val="accent1"/>
                  </a:solidFill>
                </a:ln>
                <a:effectLst/>
              </c:spPr>
            </c:marker>
            <c:bubble3D val="0"/>
            <c:extLst>
              <c:ext xmlns:c16="http://schemas.microsoft.com/office/drawing/2014/chart" uri="{C3380CC4-5D6E-409C-BE32-E72D297353CC}">
                <c16:uniqueId val="{00000026-9C4E-4E76-B33E-BE5485487B01}"/>
              </c:ext>
            </c:extLst>
          </c:dPt>
          <c:dPt>
            <c:idx val="38"/>
            <c:marker>
              <c:symbol val="circle"/>
              <c:size val="10"/>
              <c:spPr>
                <a:solidFill>
                  <a:srgbClr val="0196FF"/>
                </a:solidFill>
                <a:ln w="9525">
                  <a:solidFill>
                    <a:schemeClr val="accent1"/>
                  </a:solidFill>
                </a:ln>
                <a:effectLst/>
              </c:spPr>
            </c:marker>
            <c:bubble3D val="0"/>
            <c:extLst>
              <c:ext xmlns:c16="http://schemas.microsoft.com/office/drawing/2014/chart" uri="{C3380CC4-5D6E-409C-BE32-E72D297353CC}">
                <c16:uniqueId val="{00000027-9C4E-4E76-B33E-BE5485487B01}"/>
              </c:ext>
            </c:extLst>
          </c:dPt>
          <c:dPt>
            <c:idx val="39"/>
            <c:marker>
              <c:symbol val="circle"/>
              <c:size val="10"/>
              <c:spPr>
                <a:solidFill>
                  <a:srgbClr val="018AFF"/>
                </a:solidFill>
                <a:ln w="9525">
                  <a:solidFill>
                    <a:schemeClr val="accent1"/>
                  </a:solidFill>
                </a:ln>
                <a:effectLst/>
              </c:spPr>
            </c:marker>
            <c:bubble3D val="0"/>
            <c:extLst>
              <c:ext xmlns:c16="http://schemas.microsoft.com/office/drawing/2014/chart" uri="{C3380CC4-5D6E-409C-BE32-E72D297353CC}">
                <c16:uniqueId val="{00000028-9C4E-4E76-B33E-BE5485487B01}"/>
              </c:ext>
            </c:extLst>
          </c:dPt>
          <c:dPt>
            <c:idx val="40"/>
            <c:marker>
              <c:symbol val="circle"/>
              <c:size val="10"/>
              <c:spPr>
                <a:solidFill>
                  <a:srgbClr val="0179FF"/>
                </a:solidFill>
                <a:ln w="9525">
                  <a:solidFill>
                    <a:schemeClr val="accent1"/>
                  </a:solidFill>
                </a:ln>
                <a:effectLst/>
              </c:spPr>
            </c:marker>
            <c:bubble3D val="0"/>
            <c:extLst>
              <c:ext xmlns:c16="http://schemas.microsoft.com/office/drawing/2014/chart" uri="{C3380CC4-5D6E-409C-BE32-E72D297353CC}">
                <c16:uniqueId val="{00000029-9C4E-4E76-B33E-BE5485487B01}"/>
              </c:ext>
            </c:extLst>
          </c:dPt>
          <c:dPt>
            <c:idx val="41"/>
            <c:marker>
              <c:symbol val="circle"/>
              <c:size val="10"/>
              <c:spPr>
                <a:solidFill>
                  <a:srgbClr val="016DFF"/>
                </a:solidFill>
                <a:ln w="9525">
                  <a:solidFill>
                    <a:schemeClr val="accent1"/>
                  </a:solidFill>
                </a:ln>
                <a:effectLst/>
              </c:spPr>
            </c:marker>
            <c:bubble3D val="0"/>
            <c:extLst>
              <c:ext xmlns:c16="http://schemas.microsoft.com/office/drawing/2014/chart" uri="{C3380CC4-5D6E-409C-BE32-E72D297353CC}">
                <c16:uniqueId val="{0000002A-9C4E-4E76-B33E-BE5485487B01}"/>
              </c:ext>
            </c:extLst>
          </c:dPt>
          <c:dPt>
            <c:idx val="42"/>
            <c:marker>
              <c:symbol val="circle"/>
              <c:size val="10"/>
              <c:spPr>
                <a:solidFill>
                  <a:srgbClr val="015BFF"/>
                </a:solidFill>
                <a:ln w="9525">
                  <a:solidFill>
                    <a:schemeClr val="accent1"/>
                  </a:solidFill>
                </a:ln>
                <a:effectLst/>
              </c:spPr>
            </c:marker>
            <c:bubble3D val="0"/>
            <c:extLst>
              <c:ext xmlns:c16="http://schemas.microsoft.com/office/drawing/2014/chart" uri="{C3380CC4-5D6E-409C-BE32-E72D297353CC}">
                <c16:uniqueId val="{0000002B-9C4E-4E76-B33E-BE5485487B01}"/>
              </c:ext>
            </c:extLst>
          </c:dPt>
          <c:dPt>
            <c:idx val="43"/>
            <c:marker>
              <c:symbol val="circle"/>
              <c:size val="10"/>
              <c:spPr>
                <a:solidFill>
                  <a:srgbClr val="014FFF"/>
                </a:solidFill>
                <a:ln w="9525">
                  <a:solidFill>
                    <a:schemeClr val="accent1"/>
                  </a:solidFill>
                </a:ln>
                <a:effectLst/>
              </c:spPr>
            </c:marker>
            <c:bubble3D val="0"/>
            <c:extLst>
              <c:ext xmlns:c16="http://schemas.microsoft.com/office/drawing/2014/chart" uri="{C3380CC4-5D6E-409C-BE32-E72D297353CC}">
                <c16:uniqueId val="{0000002C-9C4E-4E76-B33E-BE5485487B01}"/>
              </c:ext>
            </c:extLst>
          </c:dPt>
          <c:dPt>
            <c:idx val="44"/>
            <c:marker>
              <c:symbol val="circle"/>
              <c:size val="10"/>
              <c:spPr>
                <a:solidFill>
                  <a:srgbClr val="013DFF"/>
                </a:solidFill>
                <a:ln w="9525">
                  <a:solidFill>
                    <a:schemeClr val="accent1"/>
                  </a:solidFill>
                </a:ln>
                <a:effectLst/>
              </c:spPr>
            </c:marker>
            <c:bubble3D val="0"/>
            <c:extLst>
              <c:ext xmlns:c16="http://schemas.microsoft.com/office/drawing/2014/chart" uri="{C3380CC4-5D6E-409C-BE32-E72D297353CC}">
                <c16:uniqueId val="{0000002D-9C4E-4E76-B33E-BE5485487B01}"/>
              </c:ext>
            </c:extLst>
          </c:dPt>
          <c:dPt>
            <c:idx val="45"/>
            <c:marker>
              <c:symbol val="circle"/>
              <c:size val="10"/>
              <c:spPr>
                <a:solidFill>
                  <a:srgbClr val="0131FF"/>
                </a:solidFill>
                <a:ln w="9525">
                  <a:solidFill>
                    <a:schemeClr val="accent1"/>
                  </a:solidFill>
                </a:ln>
                <a:effectLst/>
              </c:spPr>
            </c:marker>
            <c:bubble3D val="0"/>
            <c:extLst>
              <c:ext xmlns:c16="http://schemas.microsoft.com/office/drawing/2014/chart" uri="{C3380CC4-5D6E-409C-BE32-E72D297353CC}">
                <c16:uniqueId val="{0000002E-9C4E-4E76-B33E-BE5485487B01}"/>
              </c:ext>
            </c:extLst>
          </c:dPt>
          <c:dPt>
            <c:idx val="46"/>
            <c:marker>
              <c:symbol val="circle"/>
              <c:size val="10"/>
              <c:spPr>
                <a:solidFill>
                  <a:srgbClr val="011FFF"/>
                </a:solidFill>
                <a:ln w="9525">
                  <a:solidFill>
                    <a:schemeClr val="accent1"/>
                  </a:solidFill>
                </a:ln>
                <a:effectLst/>
              </c:spPr>
            </c:marker>
            <c:bubble3D val="0"/>
            <c:extLst>
              <c:ext xmlns:c16="http://schemas.microsoft.com/office/drawing/2014/chart" uri="{C3380CC4-5D6E-409C-BE32-E72D297353CC}">
                <c16:uniqueId val="{0000002F-9C4E-4E76-B33E-BE5485487B01}"/>
              </c:ext>
            </c:extLst>
          </c:dPt>
          <c:dPt>
            <c:idx val="47"/>
            <c:marker>
              <c:symbol val="circle"/>
              <c:size val="10"/>
              <c:spPr>
                <a:solidFill>
                  <a:srgbClr val="0113FF"/>
                </a:solidFill>
                <a:ln w="9525">
                  <a:solidFill>
                    <a:schemeClr val="accent1"/>
                  </a:solidFill>
                </a:ln>
                <a:effectLst/>
              </c:spPr>
            </c:marker>
            <c:bubble3D val="0"/>
            <c:extLst>
              <c:ext xmlns:c16="http://schemas.microsoft.com/office/drawing/2014/chart" uri="{C3380CC4-5D6E-409C-BE32-E72D297353CC}">
                <c16:uniqueId val="{00000030-9C4E-4E76-B33E-BE5485487B01}"/>
              </c:ext>
            </c:extLst>
          </c:dPt>
          <c:dPt>
            <c:idx val="48"/>
            <c:marker>
              <c:symbol val="circle"/>
              <c:size val="10"/>
              <c:spPr>
                <a:solidFill>
                  <a:srgbClr val="0101FF"/>
                </a:solidFill>
                <a:ln w="9525">
                  <a:solidFill>
                    <a:schemeClr val="accent1"/>
                  </a:solidFill>
                </a:ln>
                <a:effectLst/>
              </c:spPr>
            </c:marker>
            <c:bubble3D val="0"/>
            <c:extLst>
              <c:ext xmlns:c16="http://schemas.microsoft.com/office/drawing/2014/chart" uri="{C3380CC4-5D6E-409C-BE32-E72D297353CC}">
                <c16:uniqueId val="{00000031-9C4E-4E76-B33E-BE5485487B01}"/>
              </c:ext>
            </c:extLst>
          </c:dPt>
          <c:dPt>
            <c:idx val="49"/>
            <c:marker>
              <c:symbol val="circle"/>
              <c:size val="10"/>
              <c:spPr>
                <a:solidFill>
                  <a:srgbClr val="0D01FF"/>
                </a:solidFill>
                <a:ln w="9525">
                  <a:solidFill>
                    <a:schemeClr val="accent1"/>
                  </a:solidFill>
                </a:ln>
                <a:effectLst/>
              </c:spPr>
            </c:marker>
            <c:bubble3D val="0"/>
            <c:extLst>
              <c:ext xmlns:c16="http://schemas.microsoft.com/office/drawing/2014/chart" uri="{C3380CC4-5D6E-409C-BE32-E72D297353CC}">
                <c16:uniqueId val="{00000032-9C4E-4E76-B33E-BE5485487B01}"/>
              </c:ext>
            </c:extLst>
          </c:dPt>
          <c:dPt>
            <c:idx val="50"/>
            <c:marker>
              <c:symbol val="circle"/>
              <c:size val="10"/>
              <c:spPr>
                <a:solidFill>
                  <a:srgbClr val="1F01FF"/>
                </a:solidFill>
                <a:ln w="9525">
                  <a:solidFill>
                    <a:schemeClr val="accent1"/>
                  </a:solidFill>
                </a:ln>
                <a:effectLst/>
              </c:spPr>
            </c:marker>
            <c:bubble3D val="0"/>
            <c:extLst>
              <c:ext xmlns:c16="http://schemas.microsoft.com/office/drawing/2014/chart" uri="{C3380CC4-5D6E-409C-BE32-E72D297353CC}">
                <c16:uniqueId val="{00000033-9C4E-4E76-B33E-BE5485487B01}"/>
              </c:ext>
            </c:extLst>
          </c:dPt>
          <c:dPt>
            <c:idx val="51"/>
            <c:marker>
              <c:symbol val="circle"/>
              <c:size val="10"/>
              <c:spPr>
                <a:solidFill>
                  <a:srgbClr val="2B01FF"/>
                </a:solidFill>
                <a:ln w="9525">
                  <a:solidFill>
                    <a:schemeClr val="accent1"/>
                  </a:solidFill>
                </a:ln>
                <a:effectLst/>
              </c:spPr>
            </c:marker>
            <c:bubble3D val="0"/>
            <c:extLst>
              <c:ext xmlns:c16="http://schemas.microsoft.com/office/drawing/2014/chart" uri="{C3380CC4-5D6E-409C-BE32-E72D297353CC}">
                <c16:uniqueId val="{00000034-9C4E-4E76-B33E-BE5485487B01}"/>
              </c:ext>
            </c:extLst>
          </c:dPt>
          <c:dPt>
            <c:idx val="52"/>
            <c:marker>
              <c:symbol val="circle"/>
              <c:size val="10"/>
              <c:spPr>
                <a:solidFill>
                  <a:srgbClr val="3D01FF"/>
                </a:solidFill>
                <a:ln w="9525">
                  <a:solidFill>
                    <a:schemeClr val="accent1"/>
                  </a:solidFill>
                </a:ln>
                <a:effectLst/>
              </c:spPr>
            </c:marker>
            <c:bubble3D val="0"/>
            <c:extLst>
              <c:ext xmlns:c16="http://schemas.microsoft.com/office/drawing/2014/chart" uri="{C3380CC4-5D6E-409C-BE32-E72D297353CC}">
                <c16:uniqueId val="{00000035-9C4E-4E76-B33E-BE5485487B01}"/>
              </c:ext>
            </c:extLst>
          </c:dPt>
          <c:dPt>
            <c:idx val="53"/>
            <c:marker>
              <c:symbol val="circle"/>
              <c:size val="10"/>
              <c:spPr>
                <a:solidFill>
                  <a:srgbClr val="4901FF"/>
                </a:solidFill>
                <a:ln w="9525">
                  <a:solidFill>
                    <a:schemeClr val="accent1"/>
                  </a:solidFill>
                </a:ln>
                <a:effectLst/>
              </c:spPr>
            </c:marker>
            <c:bubble3D val="0"/>
            <c:extLst>
              <c:ext xmlns:c16="http://schemas.microsoft.com/office/drawing/2014/chart" uri="{C3380CC4-5D6E-409C-BE32-E72D297353CC}">
                <c16:uniqueId val="{00000036-9C4E-4E76-B33E-BE5485487B01}"/>
              </c:ext>
            </c:extLst>
          </c:dPt>
          <c:dPt>
            <c:idx val="54"/>
            <c:marker>
              <c:symbol val="circle"/>
              <c:size val="10"/>
              <c:spPr>
                <a:solidFill>
                  <a:srgbClr val="5B01FF"/>
                </a:solidFill>
                <a:ln w="9525">
                  <a:solidFill>
                    <a:schemeClr val="accent1"/>
                  </a:solidFill>
                </a:ln>
                <a:effectLst/>
              </c:spPr>
            </c:marker>
            <c:bubble3D val="0"/>
            <c:extLst>
              <c:ext xmlns:c16="http://schemas.microsoft.com/office/drawing/2014/chart" uri="{C3380CC4-5D6E-409C-BE32-E72D297353CC}">
                <c16:uniqueId val="{00000037-9C4E-4E76-B33E-BE5485487B01}"/>
              </c:ext>
            </c:extLst>
          </c:dPt>
          <c:dPt>
            <c:idx val="55"/>
            <c:marker>
              <c:symbol val="circle"/>
              <c:size val="10"/>
              <c:spPr>
                <a:solidFill>
                  <a:srgbClr val="6701FF"/>
                </a:solidFill>
                <a:ln w="9525">
                  <a:solidFill>
                    <a:schemeClr val="accent1"/>
                  </a:solidFill>
                </a:ln>
                <a:effectLst/>
              </c:spPr>
            </c:marker>
            <c:bubble3D val="0"/>
            <c:extLst>
              <c:ext xmlns:c16="http://schemas.microsoft.com/office/drawing/2014/chart" uri="{C3380CC4-5D6E-409C-BE32-E72D297353CC}">
                <c16:uniqueId val="{00000038-9C4E-4E76-B33E-BE5485487B01}"/>
              </c:ext>
            </c:extLst>
          </c:dPt>
          <c:dPt>
            <c:idx val="56"/>
            <c:marker>
              <c:symbol val="circle"/>
              <c:size val="10"/>
              <c:spPr>
                <a:solidFill>
                  <a:srgbClr val="7901FF"/>
                </a:solidFill>
                <a:ln w="9525">
                  <a:solidFill>
                    <a:schemeClr val="accent1"/>
                  </a:solidFill>
                </a:ln>
                <a:effectLst/>
              </c:spPr>
            </c:marker>
            <c:bubble3D val="0"/>
            <c:extLst>
              <c:ext xmlns:c16="http://schemas.microsoft.com/office/drawing/2014/chart" uri="{C3380CC4-5D6E-409C-BE32-E72D297353CC}">
                <c16:uniqueId val="{00000039-9C4E-4E76-B33E-BE5485487B01}"/>
              </c:ext>
            </c:extLst>
          </c:dPt>
          <c:dPt>
            <c:idx val="57"/>
            <c:marker>
              <c:symbol val="circle"/>
              <c:size val="10"/>
              <c:spPr>
                <a:solidFill>
                  <a:srgbClr val="8401FF"/>
                </a:solidFill>
                <a:ln w="9525">
                  <a:solidFill>
                    <a:schemeClr val="accent1"/>
                  </a:solidFill>
                </a:ln>
                <a:effectLst/>
              </c:spPr>
            </c:marker>
            <c:bubble3D val="0"/>
            <c:extLst>
              <c:ext xmlns:c16="http://schemas.microsoft.com/office/drawing/2014/chart" uri="{C3380CC4-5D6E-409C-BE32-E72D297353CC}">
                <c16:uniqueId val="{0000003A-9C4E-4E76-B33E-BE5485487B01}"/>
              </c:ext>
            </c:extLst>
          </c:dPt>
          <c:dPt>
            <c:idx val="58"/>
            <c:marker>
              <c:symbol val="circle"/>
              <c:size val="10"/>
              <c:spPr>
                <a:solidFill>
                  <a:srgbClr val="9601FF"/>
                </a:solidFill>
                <a:ln w="9525">
                  <a:solidFill>
                    <a:schemeClr val="accent1"/>
                  </a:solidFill>
                </a:ln>
                <a:effectLst/>
              </c:spPr>
            </c:marker>
            <c:bubble3D val="0"/>
            <c:extLst>
              <c:ext xmlns:c16="http://schemas.microsoft.com/office/drawing/2014/chart" uri="{C3380CC4-5D6E-409C-BE32-E72D297353CC}">
                <c16:uniqueId val="{0000003B-9C4E-4E76-B33E-BE5485487B01}"/>
              </c:ext>
            </c:extLst>
          </c:dPt>
          <c:xVal>
            <c:numRef>
              <c:f>Arch!$G$2:$G$60</c:f>
              <c:numCache>
                <c:formatCode>General</c:formatCode>
                <c:ptCount val="59"/>
                <c:pt idx="0">
                  <c:v>24.622679963595701</c:v>
                </c:pt>
                <c:pt idx="1">
                  <c:v>24.520280818927532</c:v>
                </c:pt>
                <c:pt idx="2">
                  <c:v>24.755659040425844</c:v>
                </c:pt>
                <c:pt idx="3">
                  <c:v>24.115061543554543</c:v>
                </c:pt>
                <c:pt idx="4">
                  <c:v>23.338956005922093</c:v>
                </c:pt>
                <c:pt idx="5">
                  <c:v>22.292674648434559</c:v>
                </c:pt>
                <c:pt idx="6">
                  <c:v>22.169197546790961</c:v>
                </c:pt>
                <c:pt idx="7">
                  <c:v>22.104014582358687</c:v>
                </c:pt>
                <c:pt idx="8">
                  <c:v>21.632988764152898</c:v>
                </c:pt>
                <c:pt idx="9">
                  <c:v>21.43700293748104</c:v>
                </c:pt>
                <c:pt idx="10">
                  <c:v>21.221893044479934</c:v>
                </c:pt>
                <c:pt idx="11">
                  <c:v>20.83054981877909</c:v>
                </c:pt>
                <c:pt idx="12">
                  <c:v>20.689520855524147</c:v>
                </c:pt>
                <c:pt idx="13">
                  <c:v>21.132386503529549</c:v>
                </c:pt>
                <c:pt idx="14">
                  <c:v>21.308851743899311</c:v>
                </c:pt>
                <c:pt idx="15">
                  <c:v>21.508299024556045</c:v>
                </c:pt>
                <c:pt idx="16">
                  <c:v>21.426874066466205</c:v>
                </c:pt>
                <c:pt idx="17">
                  <c:v>21.366639952184471</c:v>
                </c:pt>
                <c:pt idx="18">
                  <c:v>21.707423228288707</c:v>
                </c:pt>
                <c:pt idx="19">
                  <c:v>22.261109588114827</c:v>
                </c:pt>
                <c:pt idx="20">
                  <c:v>22.260416245328017</c:v>
                </c:pt>
                <c:pt idx="21">
                  <c:v>22.338233746134485</c:v>
                </c:pt>
                <c:pt idx="22">
                  <c:v>22.560068464047028</c:v>
                </c:pt>
                <c:pt idx="23">
                  <c:v>22.877085546911371</c:v>
                </c:pt>
                <c:pt idx="24">
                  <c:v>23.234343879444893</c:v>
                </c:pt>
                <c:pt idx="25">
                  <c:v>23.770561698596829</c:v>
                </c:pt>
                <c:pt idx="26">
                  <c:v>23.827803757812049</c:v>
                </c:pt>
                <c:pt idx="27">
                  <c:v>23.586723306680597</c:v>
                </c:pt>
                <c:pt idx="28">
                  <c:v>23.733148483215786</c:v>
                </c:pt>
                <c:pt idx="29">
                  <c:v>23.979730086782489</c:v>
                </c:pt>
                <c:pt idx="30">
                  <c:v>24.324438684983111</c:v>
                </c:pt>
                <c:pt idx="31">
                  <c:v>24.485675123240469</c:v>
                </c:pt>
                <c:pt idx="32">
                  <c:v>24.470009363861553</c:v>
                </c:pt>
                <c:pt idx="33">
                  <c:v>24.459896726036284</c:v>
                </c:pt>
                <c:pt idx="34">
                  <c:v>24.455093359098058</c:v>
                </c:pt>
                <c:pt idx="35">
                  <c:v>24.431491683755802</c:v>
                </c:pt>
                <c:pt idx="36">
                  <c:v>24.527976327045906</c:v>
                </c:pt>
                <c:pt idx="37">
                  <c:v>24.537021062231823</c:v>
                </c:pt>
                <c:pt idx="38">
                  <c:v>24.137546054258323</c:v>
                </c:pt>
                <c:pt idx="39">
                  <c:v>23.7592091449776</c:v>
                </c:pt>
                <c:pt idx="40">
                  <c:v>23.330603877551383</c:v>
                </c:pt>
                <c:pt idx="41">
                  <c:v>22.88185309911043</c:v>
                </c:pt>
                <c:pt idx="42">
                  <c:v>22.513493207502627</c:v>
                </c:pt>
                <c:pt idx="43">
                  <c:v>22.156281667465542</c:v>
                </c:pt>
                <c:pt idx="44">
                  <c:v>21.9669995231333</c:v>
                </c:pt>
                <c:pt idx="45">
                  <c:v>22.012416112600445</c:v>
                </c:pt>
                <c:pt idx="46">
                  <c:v>21.443783146281937</c:v>
                </c:pt>
                <c:pt idx="47">
                  <c:v>21.032719461005691</c:v>
                </c:pt>
                <c:pt idx="48">
                  <c:v>20.953242519246814</c:v>
                </c:pt>
                <c:pt idx="49">
                  <c:v>20.87152035477866</c:v>
                </c:pt>
                <c:pt idx="50">
                  <c:v>20.717899333551085</c:v>
                </c:pt>
                <c:pt idx="51">
                  <c:v>21.247753409758843</c:v>
                </c:pt>
                <c:pt idx="52">
                  <c:v>21.227797044109252</c:v>
                </c:pt>
                <c:pt idx="53">
                  <c:v>21.306296675203484</c:v>
                </c:pt>
                <c:pt idx="54">
                  <c:v>21.365552349383794</c:v>
                </c:pt>
                <c:pt idx="55">
                  <c:v>21.489923790194066</c:v>
                </c:pt>
                <c:pt idx="56">
                  <c:v>21.365248985762349</c:v>
                </c:pt>
                <c:pt idx="57">
                  <c:v>21.371526454211839</c:v>
                </c:pt>
                <c:pt idx="58">
                  <c:v>21.353885388571918</c:v>
                </c:pt>
              </c:numCache>
            </c:numRef>
          </c:xVal>
          <c:yVal>
            <c:numRef>
              <c:f>Arch!$H$2:$H$60</c:f>
              <c:numCache>
                <c:formatCode>General</c:formatCode>
                <c:ptCount val="59"/>
                <c:pt idx="0">
                  <c:v>36.066009846335994</c:v>
                </c:pt>
                <c:pt idx="1">
                  <c:v>35.769831138590391</c:v>
                </c:pt>
                <c:pt idx="2">
                  <c:v>35.455259005363949</c:v>
                </c:pt>
                <c:pt idx="3">
                  <c:v>35.842902262971393</c:v>
                </c:pt>
                <c:pt idx="4">
                  <c:v>36.035257700619155</c:v>
                </c:pt>
                <c:pt idx="5">
                  <c:v>35.084950943240329</c:v>
                </c:pt>
                <c:pt idx="6">
                  <c:v>33.378611341479697</c:v>
                </c:pt>
                <c:pt idx="7">
                  <c:v>33.019930724955231</c:v>
                </c:pt>
                <c:pt idx="8">
                  <c:v>32.703363327870534</c:v>
                </c:pt>
                <c:pt idx="9">
                  <c:v>33.009514030971381</c:v>
                </c:pt>
                <c:pt idx="10">
                  <c:v>33.172868291123009</c:v>
                </c:pt>
                <c:pt idx="11">
                  <c:v>33.009164930844605</c:v>
                </c:pt>
                <c:pt idx="12">
                  <c:v>31.671674236173779</c:v>
                </c:pt>
                <c:pt idx="13">
                  <c:v>29.81195333245698</c:v>
                </c:pt>
                <c:pt idx="14">
                  <c:v>29.166658886920537</c:v>
                </c:pt>
                <c:pt idx="15">
                  <c:v>28.957065170731589</c:v>
                </c:pt>
                <c:pt idx="16">
                  <c:v>29.095776982823249</c:v>
                </c:pt>
                <c:pt idx="17">
                  <c:v>28.983306572954454</c:v>
                </c:pt>
                <c:pt idx="18">
                  <c:v>28.015570128907889</c:v>
                </c:pt>
                <c:pt idx="19">
                  <c:v>26.465455704072674</c:v>
                </c:pt>
                <c:pt idx="20">
                  <c:v>25.269959452668687</c:v>
                </c:pt>
                <c:pt idx="21">
                  <c:v>24.475606931421474</c:v>
                </c:pt>
                <c:pt idx="22">
                  <c:v>23.929804370640937</c:v>
                </c:pt>
                <c:pt idx="23">
                  <c:v>23.273358185100172</c:v>
                </c:pt>
                <c:pt idx="24">
                  <c:v>22.312022549317874</c:v>
                </c:pt>
                <c:pt idx="25">
                  <c:v>20.781194662768701</c:v>
                </c:pt>
                <c:pt idx="26">
                  <c:v>19.471988305806214</c:v>
                </c:pt>
                <c:pt idx="27">
                  <c:v>18.209293623592014</c:v>
                </c:pt>
                <c:pt idx="28">
                  <c:v>16.771468846886783</c:v>
                </c:pt>
                <c:pt idx="29">
                  <c:v>15.41163652554642</c:v>
                </c:pt>
                <c:pt idx="30">
                  <c:v>13.926574916793129</c:v>
                </c:pt>
                <c:pt idx="31">
                  <c:v>12.639401621222433</c:v>
                </c:pt>
                <c:pt idx="32">
                  <c:v>12.055224414464671</c:v>
                </c:pt>
                <c:pt idx="33">
                  <c:v>11.498271423652163</c:v>
                </c:pt>
                <c:pt idx="34">
                  <c:v>10.919588672697003</c:v>
                </c:pt>
                <c:pt idx="35">
                  <c:v>10.366821063921238</c:v>
                </c:pt>
                <c:pt idx="36">
                  <c:v>10.07033110047027</c:v>
                </c:pt>
                <c:pt idx="37">
                  <c:v>9.507766595674541</c:v>
                </c:pt>
                <c:pt idx="38">
                  <c:v>7.9115093816551783</c:v>
                </c:pt>
                <c:pt idx="39">
                  <c:v>6.2274817200143433</c:v>
                </c:pt>
                <c:pt idx="40">
                  <c:v>5.5549839642138084</c:v>
                </c:pt>
                <c:pt idx="41">
                  <c:v>5.3383861110726079</c:v>
                </c:pt>
                <c:pt idx="42">
                  <c:v>5.5426804467216755</c:v>
                </c:pt>
                <c:pt idx="43">
                  <c:v>5.7573099561464902</c:v>
                </c:pt>
                <c:pt idx="44">
                  <c:v>4.5927911535113113</c:v>
                </c:pt>
                <c:pt idx="45">
                  <c:v>2.6961320049633604</c:v>
                </c:pt>
                <c:pt idx="46">
                  <c:v>2.0658487960736966</c:v>
                </c:pt>
                <c:pt idx="47">
                  <c:v>2.2888603001480385</c:v>
                </c:pt>
                <c:pt idx="48">
                  <c:v>2.4152321069723883</c:v>
                </c:pt>
                <c:pt idx="49">
                  <c:v>2.8764098447741135</c:v>
                </c:pt>
                <c:pt idx="50">
                  <c:v>2.4381174196466806</c:v>
                </c:pt>
                <c:pt idx="51">
                  <c:v>0.59858382331426707</c:v>
                </c:pt>
                <c:pt idx="52">
                  <c:v>-0.28505860706214498</c:v>
                </c:pt>
                <c:pt idx="53">
                  <c:v>0.16014042678031171</c:v>
                </c:pt>
                <c:pt idx="54">
                  <c:v>0.62730645024697362</c:v>
                </c:pt>
                <c:pt idx="55">
                  <c:v>0.97797817764509531</c:v>
                </c:pt>
                <c:pt idx="56">
                  <c:v>-0.22407835097434539</c:v>
                </c:pt>
                <c:pt idx="57">
                  <c:v>0.37386210053711921</c:v>
                </c:pt>
                <c:pt idx="58">
                  <c:v>1.1489184395648879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14-3E43-476D-B1CE-56F357F502DD}"/>
            </c:ext>
          </c:extLst>
        </c:ser>
        <c:ser>
          <c:idx val="1"/>
          <c:order val="1"/>
          <c:tx>
            <c:v>Base</c:v>
          </c:tx>
          <c:spPr>
            <a:ln w="19050" cap="rnd">
              <a:solidFill>
                <a:schemeClr val="accent2"/>
              </a:solidFill>
              <a:round/>
            </a:ln>
            <a:effectLst/>
          </c:spPr>
          <c:marker>
            <c:symbol val="none"/>
          </c:marker>
          <c:dPt>
            <c:idx val="19"/>
            <c:marker>
              <c:symbol val="none"/>
            </c:marker>
            <c:bubble3D val="0"/>
            <c:extLst>
              <c:ext xmlns:c16="http://schemas.microsoft.com/office/drawing/2014/chart" uri="{C3380CC4-5D6E-409C-BE32-E72D297353CC}">
                <c16:uniqueId val="{00000013-FA5C-4F5C-846A-BEF883CEDB9F}"/>
              </c:ext>
            </c:extLst>
          </c:dPt>
          <c:xVal>
            <c:numRef>
              <c:f>Base!$G$2:$G$21</c:f>
              <c:numCache>
                <c:formatCode>General</c:formatCode>
                <c:ptCount val="20"/>
                <c:pt idx="0">
                  <c:v>19.988536834716797</c:v>
                </c:pt>
                <c:pt idx="1">
                  <c:v>17.447378798191611</c:v>
                </c:pt>
                <c:pt idx="2">
                  <c:v>15.620215698107327</c:v>
                </c:pt>
                <c:pt idx="3">
                  <c:v>14.785112240309878</c:v>
                </c:pt>
                <c:pt idx="4">
                  <c:v>15.389990992717337</c:v>
                </c:pt>
                <c:pt idx="5">
                  <c:v>15.226098545388934</c:v>
                </c:pt>
                <c:pt idx="6">
                  <c:v>14.589895416464751</c:v>
                </c:pt>
                <c:pt idx="7">
                  <c:v>14.74495500503205</c:v>
                </c:pt>
                <c:pt idx="8">
                  <c:v>15.954898710465152</c:v>
                </c:pt>
                <c:pt idx="9">
                  <c:v>17.990780575023816</c:v>
                </c:pt>
                <c:pt idx="10">
                  <c:v>21.409704208374023</c:v>
                </c:pt>
                <c:pt idx="11">
                  <c:v>26.960432848167457</c:v>
                </c:pt>
                <c:pt idx="12">
                  <c:v>31.575491836744039</c:v>
                </c:pt>
                <c:pt idx="13">
                  <c:v>34.148806594067821</c:v>
                </c:pt>
                <c:pt idx="14">
                  <c:v>34.300026529564398</c:v>
                </c:pt>
                <c:pt idx="15">
                  <c:v>35.175398321336885</c:v>
                </c:pt>
                <c:pt idx="16">
                  <c:v>34.046503478516627</c:v>
                </c:pt>
                <c:pt idx="17">
                  <c:v>32.856148584398156</c:v>
                </c:pt>
                <c:pt idx="18">
                  <c:v>28.973149472029213</c:v>
                </c:pt>
                <c:pt idx="19">
                  <c:v>24.542546792087542</c:v>
                </c:pt>
              </c:numCache>
            </c:numRef>
          </c:xVal>
          <c:yVal>
            <c:numRef>
              <c:f>Base!$H$2:$H$21</c:f>
              <c:numCache>
                <c:formatCode>General</c:formatCode>
                <c:ptCount val="20"/>
                <c:pt idx="0">
                  <c:v>34.088539123535156</c:v>
                </c:pt>
                <c:pt idx="1">
                  <c:v>31.851467794587027</c:v>
                </c:pt>
                <c:pt idx="2">
                  <c:v>28.467178932877331</c:v>
                </c:pt>
                <c:pt idx="3">
                  <c:v>24.24344574432326</c:v>
                </c:pt>
                <c:pt idx="4">
                  <c:v>20.339242902651513</c:v>
                </c:pt>
                <c:pt idx="5">
                  <c:v>16.984474528309125</c:v>
                </c:pt>
                <c:pt idx="6">
                  <c:v>13.747956596199705</c:v>
                </c:pt>
                <c:pt idx="7">
                  <c:v>10.308883520962301</c:v>
                </c:pt>
                <c:pt idx="8">
                  <c:v>6.5361504225058846</c:v>
                </c:pt>
                <c:pt idx="9">
                  <c:v>3.5410873638604485</c:v>
                </c:pt>
                <c:pt idx="10">
                  <c:v>1.5707168579101563</c:v>
                </c:pt>
                <c:pt idx="11">
                  <c:v>2.3255512058347465</c:v>
                </c:pt>
                <c:pt idx="12">
                  <c:v>5.6972256201529046</c:v>
                </c:pt>
                <c:pt idx="13">
                  <c:v>10.133953021715399</c:v>
                </c:pt>
                <c:pt idx="14">
                  <c:v>15.344019948801691</c:v>
                </c:pt>
                <c:pt idx="15">
                  <c:v>20.225982075776543</c:v>
                </c:pt>
                <c:pt idx="16">
                  <c:v>25.072938550499821</c:v>
                </c:pt>
                <c:pt idx="17">
                  <c:v>29.845343476201815</c:v>
                </c:pt>
                <c:pt idx="18">
                  <c:v>33.398653118411595</c:v>
                </c:pt>
                <c:pt idx="19">
                  <c:v>35.474393995158721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15-3E43-476D-B1CE-56F357F502DD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392344304"/>
        <c:axId val="392341424"/>
      </c:scatterChart>
      <c:valAx>
        <c:axId val="392344304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392341424"/>
        <c:crosses val="autoZero"/>
        <c:crossBetween val="midCat"/>
      </c:valAx>
      <c:valAx>
        <c:axId val="39234142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0" spcFirstLastPara="1" vertOverflow="ellipsis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392344304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 orientation="portrait"/>
  </c:printSettings>
</c:chartSpace>
</file>

<file path=xl/charts/chart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scatterChart>
        <c:scatterStyle val="smoothMarker"/>
        <c:varyColors val="0"/>
        <c:ser>
          <c:idx val="0"/>
          <c:order val="0"/>
          <c:tx>
            <c:strRef>
              <c:f>Arch!$I$1</c:f>
              <c:strCache>
                <c:ptCount val="1"/>
                <c:pt idx="0">
                  <c:v>Z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10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dPt>
            <c:idx val="0"/>
            <c:marker>
              <c:symbol val="circle"/>
              <c:size val="10"/>
              <c:spPr>
                <a:solidFill>
                  <a:srgbClr val="D2FF01"/>
                </a:solidFill>
                <a:ln w="9525">
                  <a:solidFill>
                    <a:schemeClr val="accent1"/>
                  </a:solidFill>
                </a:ln>
                <a:effectLst/>
              </c:spPr>
            </c:marker>
            <c:bubble3D val="0"/>
            <c:extLst>
              <c:ext xmlns:c16="http://schemas.microsoft.com/office/drawing/2014/chart" uri="{C3380CC4-5D6E-409C-BE32-E72D297353CC}">
                <c16:uniqueId val="{00000000-AD50-48D9-A1C2-0BFC8ABC3756}"/>
              </c:ext>
            </c:extLst>
          </c:dPt>
          <c:dPt>
            <c:idx val="1"/>
            <c:marker>
              <c:symbol val="circle"/>
              <c:size val="10"/>
              <c:spPr>
                <a:solidFill>
                  <a:srgbClr val="C6FF01"/>
                </a:solidFill>
                <a:ln w="9525">
                  <a:solidFill>
                    <a:schemeClr val="accent1"/>
                  </a:solidFill>
                </a:ln>
                <a:effectLst/>
              </c:spPr>
            </c:marker>
            <c:bubble3D val="0"/>
            <c:extLst>
              <c:ext xmlns:c16="http://schemas.microsoft.com/office/drawing/2014/chart" uri="{C3380CC4-5D6E-409C-BE32-E72D297353CC}">
                <c16:uniqueId val="{00000001-AD50-48D9-A1C2-0BFC8ABC3756}"/>
              </c:ext>
            </c:extLst>
          </c:dPt>
          <c:dPt>
            <c:idx val="2"/>
            <c:marker>
              <c:symbol val="circle"/>
              <c:size val="10"/>
              <c:spPr>
                <a:solidFill>
                  <a:srgbClr val="B4FF01"/>
                </a:solidFill>
                <a:ln w="9525">
                  <a:solidFill>
                    <a:schemeClr val="accent1"/>
                  </a:solidFill>
                </a:ln>
                <a:effectLst/>
              </c:spPr>
            </c:marker>
            <c:bubble3D val="0"/>
            <c:extLst>
              <c:ext xmlns:c16="http://schemas.microsoft.com/office/drawing/2014/chart" uri="{C3380CC4-5D6E-409C-BE32-E72D297353CC}">
                <c16:uniqueId val="{00000002-AD50-48D9-A1C2-0BFC8ABC3756}"/>
              </c:ext>
            </c:extLst>
          </c:dPt>
          <c:dPt>
            <c:idx val="3"/>
            <c:marker>
              <c:symbol val="circle"/>
              <c:size val="10"/>
              <c:spPr>
                <a:solidFill>
                  <a:srgbClr val="A8FF01"/>
                </a:solidFill>
                <a:ln w="9525">
                  <a:solidFill>
                    <a:schemeClr val="accent1"/>
                  </a:solidFill>
                </a:ln>
                <a:effectLst/>
              </c:spPr>
            </c:marker>
            <c:bubble3D val="0"/>
            <c:extLst>
              <c:ext xmlns:c16="http://schemas.microsoft.com/office/drawing/2014/chart" uri="{C3380CC4-5D6E-409C-BE32-E72D297353CC}">
                <c16:uniqueId val="{00000003-AD50-48D9-A1C2-0BFC8ABC3756}"/>
              </c:ext>
            </c:extLst>
          </c:dPt>
          <c:dPt>
            <c:idx val="4"/>
            <c:marker>
              <c:symbol val="circle"/>
              <c:size val="10"/>
              <c:spPr>
                <a:solidFill>
                  <a:srgbClr val="96FF01"/>
                </a:solidFill>
                <a:ln w="9525">
                  <a:solidFill>
                    <a:schemeClr val="accent1"/>
                  </a:solidFill>
                </a:ln>
                <a:effectLst/>
              </c:spPr>
            </c:marker>
            <c:bubble3D val="0"/>
            <c:extLst>
              <c:ext xmlns:c16="http://schemas.microsoft.com/office/drawing/2014/chart" uri="{C3380CC4-5D6E-409C-BE32-E72D297353CC}">
                <c16:uniqueId val="{00000004-AD50-48D9-A1C2-0BFC8ABC3756}"/>
              </c:ext>
            </c:extLst>
          </c:dPt>
          <c:dPt>
            <c:idx val="5"/>
            <c:marker>
              <c:symbol val="circle"/>
              <c:size val="10"/>
              <c:spPr>
                <a:solidFill>
                  <a:srgbClr val="8AFF01"/>
                </a:solidFill>
                <a:ln w="9525">
                  <a:solidFill>
                    <a:schemeClr val="accent1"/>
                  </a:solidFill>
                </a:ln>
                <a:effectLst/>
              </c:spPr>
            </c:marker>
            <c:bubble3D val="0"/>
            <c:extLst>
              <c:ext xmlns:c16="http://schemas.microsoft.com/office/drawing/2014/chart" uri="{C3380CC4-5D6E-409C-BE32-E72D297353CC}">
                <c16:uniqueId val="{00000005-AD50-48D9-A1C2-0BFC8ABC3756}"/>
              </c:ext>
            </c:extLst>
          </c:dPt>
          <c:dPt>
            <c:idx val="6"/>
            <c:marker>
              <c:symbol val="circle"/>
              <c:size val="10"/>
              <c:spPr>
                <a:solidFill>
                  <a:srgbClr val="79FF01"/>
                </a:solidFill>
                <a:ln w="9525">
                  <a:solidFill>
                    <a:schemeClr val="accent1"/>
                  </a:solidFill>
                </a:ln>
                <a:effectLst/>
              </c:spPr>
            </c:marker>
            <c:bubble3D val="0"/>
            <c:extLst>
              <c:ext xmlns:c16="http://schemas.microsoft.com/office/drawing/2014/chart" uri="{C3380CC4-5D6E-409C-BE32-E72D297353CC}">
                <c16:uniqueId val="{00000006-AD50-48D9-A1C2-0BFC8ABC3756}"/>
              </c:ext>
            </c:extLst>
          </c:dPt>
          <c:dPt>
            <c:idx val="7"/>
            <c:marker>
              <c:symbol val="circle"/>
              <c:size val="10"/>
              <c:spPr>
                <a:solidFill>
                  <a:srgbClr val="6DFF01"/>
                </a:solidFill>
                <a:ln w="9525">
                  <a:solidFill>
                    <a:schemeClr val="accent1"/>
                  </a:solidFill>
                </a:ln>
                <a:effectLst/>
              </c:spPr>
            </c:marker>
            <c:bubble3D val="0"/>
            <c:extLst>
              <c:ext xmlns:c16="http://schemas.microsoft.com/office/drawing/2014/chart" uri="{C3380CC4-5D6E-409C-BE32-E72D297353CC}">
                <c16:uniqueId val="{00000007-AD50-48D9-A1C2-0BFC8ABC3756}"/>
              </c:ext>
            </c:extLst>
          </c:dPt>
          <c:dPt>
            <c:idx val="8"/>
            <c:marker>
              <c:symbol val="circle"/>
              <c:size val="10"/>
              <c:spPr>
                <a:solidFill>
                  <a:srgbClr val="5BFF01"/>
                </a:solidFill>
                <a:ln w="9525">
                  <a:solidFill>
                    <a:schemeClr val="accent1"/>
                  </a:solidFill>
                </a:ln>
                <a:effectLst/>
              </c:spPr>
            </c:marker>
            <c:bubble3D val="0"/>
            <c:extLst>
              <c:ext xmlns:c16="http://schemas.microsoft.com/office/drawing/2014/chart" uri="{C3380CC4-5D6E-409C-BE32-E72D297353CC}">
                <c16:uniqueId val="{00000008-AD50-48D9-A1C2-0BFC8ABC3756}"/>
              </c:ext>
            </c:extLst>
          </c:dPt>
          <c:dPt>
            <c:idx val="9"/>
            <c:marker>
              <c:symbol val="circle"/>
              <c:size val="10"/>
              <c:spPr>
                <a:solidFill>
                  <a:srgbClr val="4FFF01"/>
                </a:solidFill>
                <a:ln w="9525">
                  <a:solidFill>
                    <a:schemeClr val="accent1"/>
                  </a:solidFill>
                </a:ln>
                <a:effectLst/>
              </c:spPr>
            </c:marker>
            <c:bubble3D val="0"/>
            <c:extLst>
              <c:ext xmlns:c16="http://schemas.microsoft.com/office/drawing/2014/chart" uri="{C3380CC4-5D6E-409C-BE32-E72D297353CC}">
                <c16:uniqueId val="{00000009-AD50-48D9-A1C2-0BFC8ABC3756}"/>
              </c:ext>
            </c:extLst>
          </c:dPt>
          <c:dPt>
            <c:idx val="10"/>
            <c:marker>
              <c:symbol val="circle"/>
              <c:size val="10"/>
              <c:spPr>
                <a:solidFill>
                  <a:srgbClr val="3DFF01"/>
                </a:solidFill>
                <a:ln w="9525">
                  <a:solidFill>
                    <a:schemeClr val="accent1"/>
                  </a:solidFill>
                </a:ln>
                <a:effectLst/>
              </c:spPr>
            </c:marker>
            <c:bubble3D val="0"/>
            <c:extLst>
              <c:ext xmlns:c16="http://schemas.microsoft.com/office/drawing/2014/chart" uri="{C3380CC4-5D6E-409C-BE32-E72D297353CC}">
                <c16:uniqueId val="{0000000A-AD50-48D9-A1C2-0BFC8ABC3756}"/>
              </c:ext>
            </c:extLst>
          </c:dPt>
          <c:dPt>
            <c:idx val="11"/>
            <c:marker>
              <c:symbol val="circle"/>
              <c:size val="10"/>
              <c:spPr>
                <a:solidFill>
                  <a:srgbClr val="31FF01"/>
                </a:solidFill>
                <a:ln w="9525">
                  <a:solidFill>
                    <a:schemeClr val="accent1"/>
                  </a:solidFill>
                </a:ln>
                <a:effectLst/>
              </c:spPr>
            </c:marker>
            <c:bubble3D val="0"/>
            <c:extLst>
              <c:ext xmlns:c16="http://schemas.microsoft.com/office/drawing/2014/chart" uri="{C3380CC4-5D6E-409C-BE32-E72D297353CC}">
                <c16:uniqueId val="{0000000B-AD50-48D9-A1C2-0BFC8ABC3756}"/>
              </c:ext>
            </c:extLst>
          </c:dPt>
          <c:dPt>
            <c:idx val="12"/>
            <c:marker>
              <c:symbol val="circle"/>
              <c:size val="10"/>
              <c:spPr>
                <a:solidFill>
                  <a:srgbClr val="1FFF01"/>
                </a:solidFill>
                <a:ln w="9525">
                  <a:solidFill>
                    <a:schemeClr val="accent1"/>
                  </a:solidFill>
                </a:ln>
                <a:effectLst/>
              </c:spPr>
            </c:marker>
            <c:bubble3D val="0"/>
            <c:extLst>
              <c:ext xmlns:c16="http://schemas.microsoft.com/office/drawing/2014/chart" uri="{C3380CC4-5D6E-409C-BE32-E72D297353CC}">
                <c16:uniqueId val="{0000000C-AD50-48D9-A1C2-0BFC8ABC3756}"/>
              </c:ext>
            </c:extLst>
          </c:dPt>
          <c:dPt>
            <c:idx val="13"/>
            <c:marker>
              <c:symbol val="circle"/>
              <c:size val="10"/>
              <c:spPr>
                <a:solidFill>
                  <a:srgbClr val="13FF01"/>
                </a:solidFill>
                <a:ln w="9525">
                  <a:solidFill>
                    <a:schemeClr val="accent1"/>
                  </a:solidFill>
                </a:ln>
                <a:effectLst/>
              </c:spPr>
            </c:marker>
            <c:bubble3D val="0"/>
            <c:extLst>
              <c:ext xmlns:c16="http://schemas.microsoft.com/office/drawing/2014/chart" uri="{C3380CC4-5D6E-409C-BE32-E72D297353CC}">
                <c16:uniqueId val="{0000000D-AD50-48D9-A1C2-0BFC8ABC3756}"/>
              </c:ext>
            </c:extLst>
          </c:dPt>
          <c:dPt>
            <c:idx val="14"/>
            <c:marker>
              <c:symbol val="circle"/>
              <c:size val="10"/>
              <c:spPr>
                <a:solidFill>
                  <a:srgbClr val="01FF01"/>
                </a:solidFill>
                <a:ln w="9525">
                  <a:solidFill>
                    <a:schemeClr val="accent1"/>
                  </a:solidFill>
                </a:ln>
                <a:effectLst/>
              </c:spPr>
            </c:marker>
            <c:bubble3D val="0"/>
            <c:extLst>
              <c:ext xmlns:c16="http://schemas.microsoft.com/office/drawing/2014/chart" uri="{C3380CC4-5D6E-409C-BE32-E72D297353CC}">
                <c16:uniqueId val="{0000000E-AD50-48D9-A1C2-0BFC8ABC3756}"/>
              </c:ext>
            </c:extLst>
          </c:dPt>
          <c:dPt>
            <c:idx val="15"/>
            <c:marker>
              <c:symbol val="circle"/>
              <c:size val="10"/>
              <c:spPr>
                <a:solidFill>
                  <a:srgbClr val="01FF0D"/>
                </a:solidFill>
                <a:ln w="9525">
                  <a:solidFill>
                    <a:schemeClr val="accent1"/>
                  </a:solidFill>
                </a:ln>
                <a:effectLst/>
              </c:spPr>
            </c:marker>
            <c:bubble3D val="0"/>
            <c:extLst>
              <c:ext xmlns:c16="http://schemas.microsoft.com/office/drawing/2014/chart" uri="{C3380CC4-5D6E-409C-BE32-E72D297353CC}">
                <c16:uniqueId val="{0000000F-AD50-48D9-A1C2-0BFC8ABC3756}"/>
              </c:ext>
            </c:extLst>
          </c:dPt>
          <c:dPt>
            <c:idx val="16"/>
            <c:marker>
              <c:symbol val="circle"/>
              <c:size val="10"/>
              <c:spPr>
                <a:solidFill>
                  <a:srgbClr val="01FF1F"/>
                </a:solidFill>
                <a:ln w="9525">
                  <a:solidFill>
                    <a:schemeClr val="accent1"/>
                  </a:solidFill>
                </a:ln>
                <a:effectLst/>
              </c:spPr>
            </c:marker>
            <c:bubble3D val="0"/>
            <c:extLst>
              <c:ext xmlns:c16="http://schemas.microsoft.com/office/drawing/2014/chart" uri="{C3380CC4-5D6E-409C-BE32-E72D297353CC}">
                <c16:uniqueId val="{00000010-AD50-48D9-A1C2-0BFC8ABC3756}"/>
              </c:ext>
            </c:extLst>
          </c:dPt>
          <c:dPt>
            <c:idx val="17"/>
            <c:marker>
              <c:symbol val="circle"/>
              <c:size val="10"/>
              <c:spPr>
                <a:solidFill>
                  <a:srgbClr val="01FF2B"/>
                </a:solidFill>
                <a:ln w="9525">
                  <a:solidFill>
                    <a:schemeClr val="accent1"/>
                  </a:solidFill>
                </a:ln>
                <a:effectLst/>
              </c:spPr>
            </c:marker>
            <c:bubble3D val="0"/>
            <c:extLst>
              <c:ext xmlns:c16="http://schemas.microsoft.com/office/drawing/2014/chart" uri="{C3380CC4-5D6E-409C-BE32-E72D297353CC}">
                <c16:uniqueId val="{00000011-AD50-48D9-A1C2-0BFC8ABC3756}"/>
              </c:ext>
            </c:extLst>
          </c:dPt>
          <c:dPt>
            <c:idx val="18"/>
            <c:marker>
              <c:symbol val="circle"/>
              <c:size val="10"/>
              <c:spPr>
                <a:solidFill>
                  <a:srgbClr val="01FF3D"/>
                </a:solidFill>
                <a:ln w="9525">
                  <a:solidFill>
                    <a:schemeClr val="accent1"/>
                  </a:solidFill>
                </a:ln>
                <a:effectLst/>
              </c:spPr>
            </c:marker>
            <c:bubble3D val="0"/>
            <c:extLst>
              <c:ext xmlns:c16="http://schemas.microsoft.com/office/drawing/2014/chart" uri="{C3380CC4-5D6E-409C-BE32-E72D297353CC}">
                <c16:uniqueId val="{00000012-AD50-48D9-A1C2-0BFC8ABC3756}"/>
              </c:ext>
            </c:extLst>
          </c:dPt>
          <c:dPt>
            <c:idx val="19"/>
            <c:marker>
              <c:symbol val="circle"/>
              <c:size val="10"/>
              <c:spPr>
                <a:solidFill>
                  <a:srgbClr val="01FF49"/>
                </a:solidFill>
                <a:ln w="9525">
                  <a:solidFill>
                    <a:schemeClr val="accent1"/>
                  </a:solidFill>
                </a:ln>
                <a:effectLst/>
              </c:spPr>
            </c:marker>
            <c:bubble3D val="0"/>
            <c:extLst>
              <c:ext xmlns:c16="http://schemas.microsoft.com/office/drawing/2014/chart" uri="{C3380CC4-5D6E-409C-BE32-E72D297353CC}">
                <c16:uniqueId val="{00000014-4C50-477E-9A25-D6C5AE8CA358}"/>
              </c:ext>
            </c:extLst>
          </c:dPt>
          <c:dPt>
            <c:idx val="20"/>
            <c:marker>
              <c:symbol val="circle"/>
              <c:size val="10"/>
              <c:spPr>
                <a:solidFill>
                  <a:srgbClr val="01FF5B"/>
                </a:solidFill>
                <a:ln w="9525">
                  <a:solidFill>
                    <a:schemeClr val="accent1"/>
                  </a:solidFill>
                </a:ln>
                <a:effectLst/>
              </c:spPr>
            </c:marker>
            <c:bubble3D val="0"/>
            <c:extLst>
              <c:ext xmlns:c16="http://schemas.microsoft.com/office/drawing/2014/chart" uri="{C3380CC4-5D6E-409C-BE32-E72D297353CC}">
                <c16:uniqueId val="{00000015-4C50-477E-9A25-D6C5AE8CA358}"/>
              </c:ext>
            </c:extLst>
          </c:dPt>
          <c:dPt>
            <c:idx val="21"/>
            <c:marker>
              <c:symbol val="circle"/>
              <c:size val="10"/>
              <c:spPr>
                <a:solidFill>
                  <a:srgbClr val="01FF67"/>
                </a:solidFill>
                <a:ln w="9525">
                  <a:solidFill>
                    <a:schemeClr val="accent1"/>
                  </a:solidFill>
                </a:ln>
                <a:effectLst/>
              </c:spPr>
            </c:marker>
            <c:bubble3D val="0"/>
            <c:extLst>
              <c:ext xmlns:c16="http://schemas.microsoft.com/office/drawing/2014/chart" uri="{C3380CC4-5D6E-409C-BE32-E72D297353CC}">
                <c16:uniqueId val="{00000016-4C50-477E-9A25-D6C5AE8CA358}"/>
              </c:ext>
            </c:extLst>
          </c:dPt>
          <c:dPt>
            <c:idx val="22"/>
            <c:marker>
              <c:symbol val="circle"/>
              <c:size val="10"/>
              <c:spPr>
                <a:solidFill>
                  <a:srgbClr val="01FF79"/>
                </a:solidFill>
                <a:ln w="9525">
                  <a:solidFill>
                    <a:schemeClr val="accent1"/>
                  </a:solidFill>
                </a:ln>
                <a:effectLst/>
              </c:spPr>
            </c:marker>
            <c:bubble3D val="0"/>
            <c:extLst>
              <c:ext xmlns:c16="http://schemas.microsoft.com/office/drawing/2014/chart" uri="{C3380CC4-5D6E-409C-BE32-E72D297353CC}">
                <c16:uniqueId val="{00000017-4C50-477E-9A25-D6C5AE8CA358}"/>
              </c:ext>
            </c:extLst>
          </c:dPt>
          <c:dPt>
            <c:idx val="23"/>
            <c:marker>
              <c:symbol val="circle"/>
              <c:size val="10"/>
              <c:spPr>
                <a:solidFill>
                  <a:srgbClr val="01FF84"/>
                </a:solidFill>
                <a:ln w="9525">
                  <a:solidFill>
                    <a:schemeClr val="accent1"/>
                  </a:solidFill>
                </a:ln>
                <a:effectLst/>
              </c:spPr>
            </c:marker>
            <c:bubble3D val="0"/>
            <c:extLst>
              <c:ext xmlns:c16="http://schemas.microsoft.com/office/drawing/2014/chart" uri="{C3380CC4-5D6E-409C-BE32-E72D297353CC}">
                <c16:uniqueId val="{00000018-4C50-477E-9A25-D6C5AE8CA358}"/>
              </c:ext>
            </c:extLst>
          </c:dPt>
          <c:dPt>
            <c:idx val="24"/>
            <c:marker>
              <c:symbol val="circle"/>
              <c:size val="10"/>
              <c:spPr>
                <a:solidFill>
                  <a:srgbClr val="01FF96"/>
                </a:solidFill>
                <a:ln w="9525">
                  <a:solidFill>
                    <a:schemeClr val="accent1"/>
                  </a:solidFill>
                </a:ln>
                <a:effectLst/>
              </c:spPr>
            </c:marker>
            <c:bubble3D val="0"/>
            <c:extLst>
              <c:ext xmlns:c16="http://schemas.microsoft.com/office/drawing/2014/chart" uri="{C3380CC4-5D6E-409C-BE32-E72D297353CC}">
                <c16:uniqueId val="{00000019-4C50-477E-9A25-D6C5AE8CA358}"/>
              </c:ext>
            </c:extLst>
          </c:dPt>
          <c:dPt>
            <c:idx val="25"/>
            <c:marker>
              <c:symbol val="circle"/>
              <c:size val="10"/>
              <c:spPr>
                <a:solidFill>
                  <a:srgbClr val="01FFA2"/>
                </a:solidFill>
                <a:ln w="9525">
                  <a:solidFill>
                    <a:schemeClr val="accent1"/>
                  </a:solidFill>
                </a:ln>
                <a:effectLst/>
              </c:spPr>
            </c:marker>
            <c:bubble3D val="0"/>
            <c:extLst>
              <c:ext xmlns:c16="http://schemas.microsoft.com/office/drawing/2014/chart" uri="{C3380CC4-5D6E-409C-BE32-E72D297353CC}">
                <c16:uniqueId val="{0000001A-4C50-477E-9A25-D6C5AE8CA358}"/>
              </c:ext>
            </c:extLst>
          </c:dPt>
          <c:dPt>
            <c:idx val="26"/>
            <c:marker>
              <c:symbol val="circle"/>
              <c:size val="10"/>
              <c:spPr>
                <a:solidFill>
                  <a:srgbClr val="01FFB4"/>
                </a:solidFill>
                <a:ln w="9525">
                  <a:solidFill>
                    <a:schemeClr val="accent1"/>
                  </a:solidFill>
                </a:ln>
                <a:effectLst/>
              </c:spPr>
            </c:marker>
            <c:bubble3D val="0"/>
            <c:extLst>
              <c:ext xmlns:c16="http://schemas.microsoft.com/office/drawing/2014/chart" uri="{C3380CC4-5D6E-409C-BE32-E72D297353CC}">
                <c16:uniqueId val="{0000001B-4C50-477E-9A25-D6C5AE8CA358}"/>
              </c:ext>
            </c:extLst>
          </c:dPt>
          <c:dPt>
            <c:idx val="27"/>
            <c:marker>
              <c:symbol val="circle"/>
              <c:size val="10"/>
              <c:spPr>
                <a:solidFill>
                  <a:srgbClr val="01FFC0"/>
                </a:solidFill>
                <a:ln w="9525">
                  <a:solidFill>
                    <a:schemeClr val="accent1"/>
                  </a:solidFill>
                </a:ln>
                <a:effectLst/>
              </c:spPr>
            </c:marker>
            <c:bubble3D val="0"/>
            <c:extLst>
              <c:ext xmlns:c16="http://schemas.microsoft.com/office/drawing/2014/chart" uri="{C3380CC4-5D6E-409C-BE32-E72D297353CC}">
                <c16:uniqueId val="{0000001C-4C50-477E-9A25-D6C5AE8CA358}"/>
              </c:ext>
            </c:extLst>
          </c:dPt>
          <c:dPt>
            <c:idx val="28"/>
            <c:marker>
              <c:symbol val="circle"/>
              <c:size val="10"/>
              <c:spPr>
                <a:solidFill>
                  <a:srgbClr val="01FFD2"/>
                </a:solidFill>
                <a:ln w="9525">
                  <a:solidFill>
                    <a:schemeClr val="accent1"/>
                  </a:solidFill>
                </a:ln>
                <a:effectLst/>
              </c:spPr>
            </c:marker>
            <c:bubble3D val="0"/>
            <c:extLst>
              <c:ext xmlns:c16="http://schemas.microsoft.com/office/drawing/2014/chart" uri="{C3380CC4-5D6E-409C-BE32-E72D297353CC}">
                <c16:uniqueId val="{0000001D-4C50-477E-9A25-D6C5AE8CA358}"/>
              </c:ext>
            </c:extLst>
          </c:dPt>
          <c:dPt>
            <c:idx val="29"/>
            <c:marker>
              <c:symbol val="circle"/>
              <c:size val="10"/>
              <c:spPr>
                <a:solidFill>
                  <a:srgbClr val="01FFDE"/>
                </a:solidFill>
                <a:ln w="9525">
                  <a:solidFill>
                    <a:schemeClr val="accent1"/>
                  </a:solidFill>
                </a:ln>
                <a:effectLst/>
              </c:spPr>
            </c:marker>
            <c:bubble3D val="0"/>
            <c:extLst>
              <c:ext xmlns:c16="http://schemas.microsoft.com/office/drawing/2014/chart" uri="{C3380CC4-5D6E-409C-BE32-E72D297353CC}">
                <c16:uniqueId val="{0000001E-4C50-477E-9A25-D6C5AE8CA358}"/>
              </c:ext>
            </c:extLst>
          </c:dPt>
          <c:dPt>
            <c:idx val="30"/>
            <c:marker>
              <c:symbol val="circle"/>
              <c:size val="10"/>
              <c:spPr>
                <a:solidFill>
                  <a:srgbClr val="01FFF0"/>
                </a:solidFill>
                <a:ln w="9525">
                  <a:solidFill>
                    <a:schemeClr val="accent1"/>
                  </a:solidFill>
                </a:ln>
                <a:effectLst/>
              </c:spPr>
            </c:marker>
            <c:bubble3D val="0"/>
            <c:extLst>
              <c:ext xmlns:c16="http://schemas.microsoft.com/office/drawing/2014/chart" uri="{C3380CC4-5D6E-409C-BE32-E72D297353CC}">
                <c16:uniqueId val="{0000001F-4C50-477E-9A25-D6C5AE8CA358}"/>
              </c:ext>
            </c:extLst>
          </c:dPt>
          <c:dPt>
            <c:idx val="31"/>
            <c:marker>
              <c:symbol val="circle"/>
              <c:size val="10"/>
              <c:spPr>
                <a:solidFill>
                  <a:srgbClr val="01FFFC"/>
                </a:solidFill>
                <a:ln w="9525">
                  <a:solidFill>
                    <a:schemeClr val="accent1"/>
                  </a:solidFill>
                </a:ln>
                <a:effectLst/>
              </c:spPr>
            </c:marker>
            <c:bubble3D val="0"/>
            <c:extLst>
              <c:ext xmlns:c16="http://schemas.microsoft.com/office/drawing/2014/chart" uri="{C3380CC4-5D6E-409C-BE32-E72D297353CC}">
                <c16:uniqueId val="{00000020-4C50-477E-9A25-D6C5AE8CA358}"/>
              </c:ext>
            </c:extLst>
          </c:dPt>
          <c:dPt>
            <c:idx val="32"/>
            <c:marker>
              <c:symbol val="circle"/>
              <c:size val="10"/>
              <c:spPr>
                <a:solidFill>
                  <a:srgbClr val="01F0FF"/>
                </a:solidFill>
                <a:ln w="9525">
                  <a:solidFill>
                    <a:schemeClr val="accent1"/>
                  </a:solidFill>
                </a:ln>
                <a:effectLst/>
              </c:spPr>
            </c:marker>
            <c:bubble3D val="0"/>
            <c:extLst>
              <c:ext xmlns:c16="http://schemas.microsoft.com/office/drawing/2014/chart" uri="{C3380CC4-5D6E-409C-BE32-E72D297353CC}">
                <c16:uniqueId val="{00000021-4C50-477E-9A25-D6C5AE8CA358}"/>
              </c:ext>
            </c:extLst>
          </c:dPt>
          <c:dPt>
            <c:idx val="33"/>
            <c:marker>
              <c:symbol val="circle"/>
              <c:size val="10"/>
              <c:spPr>
                <a:solidFill>
                  <a:srgbClr val="01E4FF"/>
                </a:solidFill>
                <a:ln w="9525">
                  <a:solidFill>
                    <a:schemeClr val="accent1"/>
                  </a:solidFill>
                </a:ln>
                <a:effectLst/>
              </c:spPr>
            </c:marker>
            <c:bubble3D val="0"/>
            <c:extLst>
              <c:ext xmlns:c16="http://schemas.microsoft.com/office/drawing/2014/chart" uri="{C3380CC4-5D6E-409C-BE32-E72D297353CC}">
                <c16:uniqueId val="{00000022-4C50-477E-9A25-D6C5AE8CA358}"/>
              </c:ext>
            </c:extLst>
          </c:dPt>
          <c:dPt>
            <c:idx val="34"/>
            <c:marker>
              <c:symbol val="circle"/>
              <c:size val="10"/>
              <c:spPr>
                <a:solidFill>
                  <a:srgbClr val="01D2FF"/>
                </a:solidFill>
                <a:ln w="9525">
                  <a:solidFill>
                    <a:schemeClr val="accent1"/>
                  </a:solidFill>
                </a:ln>
                <a:effectLst/>
              </c:spPr>
            </c:marker>
            <c:bubble3D val="0"/>
            <c:extLst>
              <c:ext xmlns:c16="http://schemas.microsoft.com/office/drawing/2014/chart" uri="{C3380CC4-5D6E-409C-BE32-E72D297353CC}">
                <c16:uniqueId val="{00000023-4C50-477E-9A25-D6C5AE8CA358}"/>
              </c:ext>
            </c:extLst>
          </c:dPt>
          <c:dPt>
            <c:idx val="35"/>
            <c:marker>
              <c:symbol val="circle"/>
              <c:size val="10"/>
              <c:spPr>
                <a:solidFill>
                  <a:srgbClr val="01C6FF"/>
                </a:solidFill>
                <a:ln w="9525">
                  <a:solidFill>
                    <a:schemeClr val="accent1"/>
                  </a:solidFill>
                </a:ln>
                <a:effectLst/>
              </c:spPr>
            </c:marker>
            <c:bubble3D val="0"/>
            <c:extLst>
              <c:ext xmlns:c16="http://schemas.microsoft.com/office/drawing/2014/chart" uri="{C3380CC4-5D6E-409C-BE32-E72D297353CC}">
                <c16:uniqueId val="{00000024-4C50-477E-9A25-D6C5AE8CA358}"/>
              </c:ext>
            </c:extLst>
          </c:dPt>
          <c:dPt>
            <c:idx val="36"/>
            <c:marker>
              <c:symbol val="circle"/>
              <c:size val="10"/>
              <c:spPr>
                <a:solidFill>
                  <a:srgbClr val="01B4FF"/>
                </a:solidFill>
                <a:ln w="9525">
                  <a:solidFill>
                    <a:schemeClr val="accent1"/>
                  </a:solidFill>
                </a:ln>
                <a:effectLst/>
              </c:spPr>
            </c:marker>
            <c:bubble3D val="0"/>
            <c:extLst>
              <c:ext xmlns:c16="http://schemas.microsoft.com/office/drawing/2014/chart" uri="{C3380CC4-5D6E-409C-BE32-E72D297353CC}">
                <c16:uniqueId val="{00000025-4C50-477E-9A25-D6C5AE8CA358}"/>
              </c:ext>
            </c:extLst>
          </c:dPt>
          <c:dPt>
            <c:idx val="37"/>
            <c:marker>
              <c:symbol val="circle"/>
              <c:size val="10"/>
              <c:spPr>
                <a:solidFill>
                  <a:srgbClr val="01A8FF"/>
                </a:solidFill>
                <a:ln w="9525">
                  <a:solidFill>
                    <a:schemeClr val="accent1"/>
                  </a:solidFill>
                </a:ln>
                <a:effectLst/>
              </c:spPr>
            </c:marker>
            <c:bubble3D val="0"/>
            <c:extLst>
              <c:ext xmlns:c16="http://schemas.microsoft.com/office/drawing/2014/chart" uri="{C3380CC4-5D6E-409C-BE32-E72D297353CC}">
                <c16:uniqueId val="{00000026-4C50-477E-9A25-D6C5AE8CA358}"/>
              </c:ext>
            </c:extLst>
          </c:dPt>
          <c:dPt>
            <c:idx val="38"/>
            <c:marker>
              <c:symbol val="circle"/>
              <c:size val="10"/>
              <c:spPr>
                <a:solidFill>
                  <a:srgbClr val="0196FF"/>
                </a:solidFill>
                <a:ln w="9525">
                  <a:solidFill>
                    <a:schemeClr val="accent1"/>
                  </a:solidFill>
                </a:ln>
                <a:effectLst/>
              </c:spPr>
            </c:marker>
            <c:bubble3D val="0"/>
            <c:extLst>
              <c:ext xmlns:c16="http://schemas.microsoft.com/office/drawing/2014/chart" uri="{C3380CC4-5D6E-409C-BE32-E72D297353CC}">
                <c16:uniqueId val="{00000027-4C50-477E-9A25-D6C5AE8CA358}"/>
              </c:ext>
            </c:extLst>
          </c:dPt>
          <c:dPt>
            <c:idx val="39"/>
            <c:marker>
              <c:symbol val="circle"/>
              <c:size val="10"/>
              <c:spPr>
                <a:solidFill>
                  <a:srgbClr val="018AFF"/>
                </a:solidFill>
                <a:ln w="9525">
                  <a:solidFill>
                    <a:schemeClr val="accent1"/>
                  </a:solidFill>
                </a:ln>
                <a:effectLst/>
              </c:spPr>
            </c:marker>
            <c:bubble3D val="0"/>
            <c:extLst>
              <c:ext xmlns:c16="http://schemas.microsoft.com/office/drawing/2014/chart" uri="{C3380CC4-5D6E-409C-BE32-E72D297353CC}">
                <c16:uniqueId val="{00000028-4C50-477E-9A25-D6C5AE8CA358}"/>
              </c:ext>
            </c:extLst>
          </c:dPt>
          <c:dPt>
            <c:idx val="40"/>
            <c:marker>
              <c:symbol val="circle"/>
              <c:size val="10"/>
              <c:spPr>
                <a:solidFill>
                  <a:srgbClr val="0179FF"/>
                </a:solidFill>
                <a:ln w="9525">
                  <a:solidFill>
                    <a:schemeClr val="accent1"/>
                  </a:solidFill>
                </a:ln>
                <a:effectLst/>
              </c:spPr>
            </c:marker>
            <c:bubble3D val="0"/>
            <c:extLst>
              <c:ext xmlns:c16="http://schemas.microsoft.com/office/drawing/2014/chart" uri="{C3380CC4-5D6E-409C-BE32-E72D297353CC}">
                <c16:uniqueId val="{00000029-4C50-477E-9A25-D6C5AE8CA358}"/>
              </c:ext>
            </c:extLst>
          </c:dPt>
          <c:dPt>
            <c:idx val="41"/>
            <c:marker>
              <c:symbol val="circle"/>
              <c:size val="10"/>
              <c:spPr>
                <a:solidFill>
                  <a:srgbClr val="016DFF"/>
                </a:solidFill>
                <a:ln w="9525">
                  <a:solidFill>
                    <a:schemeClr val="accent1"/>
                  </a:solidFill>
                </a:ln>
                <a:effectLst/>
              </c:spPr>
            </c:marker>
            <c:bubble3D val="0"/>
            <c:extLst>
              <c:ext xmlns:c16="http://schemas.microsoft.com/office/drawing/2014/chart" uri="{C3380CC4-5D6E-409C-BE32-E72D297353CC}">
                <c16:uniqueId val="{0000002A-4C50-477E-9A25-D6C5AE8CA358}"/>
              </c:ext>
            </c:extLst>
          </c:dPt>
          <c:dPt>
            <c:idx val="42"/>
            <c:marker>
              <c:symbol val="circle"/>
              <c:size val="10"/>
              <c:spPr>
                <a:solidFill>
                  <a:srgbClr val="015BFF"/>
                </a:solidFill>
                <a:ln w="9525">
                  <a:solidFill>
                    <a:schemeClr val="accent1"/>
                  </a:solidFill>
                </a:ln>
                <a:effectLst/>
              </c:spPr>
            </c:marker>
            <c:bubble3D val="0"/>
            <c:extLst>
              <c:ext xmlns:c16="http://schemas.microsoft.com/office/drawing/2014/chart" uri="{C3380CC4-5D6E-409C-BE32-E72D297353CC}">
                <c16:uniqueId val="{0000002B-4C50-477E-9A25-D6C5AE8CA358}"/>
              </c:ext>
            </c:extLst>
          </c:dPt>
          <c:dPt>
            <c:idx val="43"/>
            <c:marker>
              <c:symbol val="circle"/>
              <c:size val="10"/>
              <c:spPr>
                <a:solidFill>
                  <a:srgbClr val="014FFF"/>
                </a:solidFill>
                <a:ln w="9525">
                  <a:solidFill>
                    <a:schemeClr val="accent1"/>
                  </a:solidFill>
                </a:ln>
                <a:effectLst/>
              </c:spPr>
            </c:marker>
            <c:bubble3D val="0"/>
            <c:extLst>
              <c:ext xmlns:c16="http://schemas.microsoft.com/office/drawing/2014/chart" uri="{C3380CC4-5D6E-409C-BE32-E72D297353CC}">
                <c16:uniqueId val="{0000002C-4C50-477E-9A25-D6C5AE8CA358}"/>
              </c:ext>
            </c:extLst>
          </c:dPt>
          <c:dPt>
            <c:idx val="44"/>
            <c:marker>
              <c:symbol val="circle"/>
              <c:size val="10"/>
              <c:spPr>
                <a:solidFill>
                  <a:srgbClr val="013DFF"/>
                </a:solidFill>
                <a:ln w="9525">
                  <a:solidFill>
                    <a:schemeClr val="accent1"/>
                  </a:solidFill>
                </a:ln>
                <a:effectLst/>
              </c:spPr>
            </c:marker>
            <c:bubble3D val="0"/>
            <c:extLst>
              <c:ext xmlns:c16="http://schemas.microsoft.com/office/drawing/2014/chart" uri="{C3380CC4-5D6E-409C-BE32-E72D297353CC}">
                <c16:uniqueId val="{0000002D-4C50-477E-9A25-D6C5AE8CA358}"/>
              </c:ext>
            </c:extLst>
          </c:dPt>
          <c:dPt>
            <c:idx val="45"/>
            <c:marker>
              <c:symbol val="circle"/>
              <c:size val="10"/>
              <c:spPr>
                <a:solidFill>
                  <a:srgbClr val="0131FF"/>
                </a:solidFill>
                <a:ln w="9525">
                  <a:solidFill>
                    <a:schemeClr val="accent1"/>
                  </a:solidFill>
                </a:ln>
                <a:effectLst/>
              </c:spPr>
            </c:marker>
            <c:bubble3D val="0"/>
            <c:extLst>
              <c:ext xmlns:c16="http://schemas.microsoft.com/office/drawing/2014/chart" uri="{C3380CC4-5D6E-409C-BE32-E72D297353CC}">
                <c16:uniqueId val="{0000002E-4C50-477E-9A25-D6C5AE8CA358}"/>
              </c:ext>
            </c:extLst>
          </c:dPt>
          <c:dPt>
            <c:idx val="46"/>
            <c:marker>
              <c:symbol val="circle"/>
              <c:size val="10"/>
              <c:spPr>
                <a:solidFill>
                  <a:srgbClr val="011FFF"/>
                </a:solidFill>
                <a:ln w="9525">
                  <a:solidFill>
                    <a:schemeClr val="accent1"/>
                  </a:solidFill>
                </a:ln>
                <a:effectLst/>
              </c:spPr>
            </c:marker>
            <c:bubble3D val="0"/>
            <c:extLst>
              <c:ext xmlns:c16="http://schemas.microsoft.com/office/drawing/2014/chart" uri="{C3380CC4-5D6E-409C-BE32-E72D297353CC}">
                <c16:uniqueId val="{0000002F-4C50-477E-9A25-D6C5AE8CA358}"/>
              </c:ext>
            </c:extLst>
          </c:dPt>
          <c:dPt>
            <c:idx val="47"/>
            <c:marker>
              <c:symbol val="circle"/>
              <c:size val="10"/>
              <c:spPr>
                <a:solidFill>
                  <a:srgbClr val="0113FF"/>
                </a:solidFill>
                <a:ln w="9525">
                  <a:solidFill>
                    <a:schemeClr val="accent1"/>
                  </a:solidFill>
                </a:ln>
                <a:effectLst/>
              </c:spPr>
            </c:marker>
            <c:bubble3D val="0"/>
            <c:extLst>
              <c:ext xmlns:c16="http://schemas.microsoft.com/office/drawing/2014/chart" uri="{C3380CC4-5D6E-409C-BE32-E72D297353CC}">
                <c16:uniqueId val="{00000030-4C50-477E-9A25-D6C5AE8CA358}"/>
              </c:ext>
            </c:extLst>
          </c:dPt>
          <c:dPt>
            <c:idx val="48"/>
            <c:marker>
              <c:symbol val="circle"/>
              <c:size val="10"/>
              <c:spPr>
                <a:solidFill>
                  <a:srgbClr val="0101FF"/>
                </a:solidFill>
                <a:ln w="9525">
                  <a:solidFill>
                    <a:schemeClr val="accent1"/>
                  </a:solidFill>
                </a:ln>
                <a:effectLst/>
              </c:spPr>
            </c:marker>
            <c:bubble3D val="0"/>
            <c:extLst>
              <c:ext xmlns:c16="http://schemas.microsoft.com/office/drawing/2014/chart" uri="{C3380CC4-5D6E-409C-BE32-E72D297353CC}">
                <c16:uniqueId val="{00000031-4C50-477E-9A25-D6C5AE8CA358}"/>
              </c:ext>
            </c:extLst>
          </c:dPt>
          <c:dPt>
            <c:idx val="49"/>
            <c:marker>
              <c:symbol val="circle"/>
              <c:size val="10"/>
              <c:spPr>
                <a:solidFill>
                  <a:srgbClr val="0D01FF"/>
                </a:solidFill>
                <a:ln w="9525">
                  <a:solidFill>
                    <a:schemeClr val="accent1"/>
                  </a:solidFill>
                </a:ln>
                <a:effectLst/>
              </c:spPr>
            </c:marker>
            <c:bubble3D val="0"/>
            <c:extLst>
              <c:ext xmlns:c16="http://schemas.microsoft.com/office/drawing/2014/chart" uri="{C3380CC4-5D6E-409C-BE32-E72D297353CC}">
                <c16:uniqueId val="{00000032-4C50-477E-9A25-D6C5AE8CA358}"/>
              </c:ext>
            </c:extLst>
          </c:dPt>
          <c:dPt>
            <c:idx val="50"/>
            <c:marker>
              <c:symbol val="circle"/>
              <c:size val="10"/>
              <c:spPr>
                <a:solidFill>
                  <a:srgbClr val="1F01FF"/>
                </a:solidFill>
                <a:ln w="9525">
                  <a:solidFill>
                    <a:schemeClr val="accent1"/>
                  </a:solidFill>
                </a:ln>
                <a:effectLst/>
              </c:spPr>
            </c:marker>
            <c:bubble3D val="0"/>
            <c:extLst>
              <c:ext xmlns:c16="http://schemas.microsoft.com/office/drawing/2014/chart" uri="{C3380CC4-5D6E-409C-BE32-E72D297353CC}">
                <c16:uniqueId val="{00000033-4C50-477E-9A25-D6C5AE8CA358}"/>
              </c:ext>
            </c:extLst>
          </c:dPt>
          <c:dPt>
            <c:idx val="51"/>
            <c:marker>
              <c:symbol val="circle"/>
              <c:size val="10"/>
              <c:spPr>
                <a:solidFill>
                  <a:srgbClr val="2B01FF"/>
                </a:solidFill>
                <a:ln w="9525">
                  <a:solidFill>
                    <a:schemeClr val="accent1"/>
                  </a:solidFill>
                </a:ln>
                <a:effectLst/>
              </c:spPr>
            </c:marker>
            <c:bubble3D val="0"/>
            <c:extLst>
              <c:ext xmlns:c16="http://schemas.microsoft.com/office/drawing/2014/chart" uri="{C3380CC4-5D6E-409C-BE32-E72D297353CC}">
                <c16:uniqueId val="{00000034-4C50-477E-9A25-D6C5AE8CA358}"/>
              </c:ext>
            </c:extLst>
          </c:dPt>
          <c:dPt>
            <c:idx val="52"/>
            <c:marker>
              <c:symbol val="circle"/>
              <c:size val="10"/>
              <c:spPr>
                <a:solidFill>
                  <a:srgbClr val="3D01FF"/>
                </a:solidFill>
                <a:ln w="9525">
                  <a:solidFill>
                    <a:schemeClr val="accent1"/>
                  </a:solidFill>
                </a:ln>
                <a:effectLst/>
              </c:spPr>
            </c:marker>
            <c:bubble3D val="0"/>
            <c:extLst>
              <c:ext xmlns:c16="http://schemas.microsoft.com/office/drawing/2014/chart" uri="{C3380CC4-5D6E-409C-BE32-E72D297353CC}">
                <c16:uniqueId val="{00000035-4C50-477E-9A25-D6C5AE8CA358}"/>
              </c:ext>
            </c:extLst>
          </c:dPt>
          <c:dPt>
            <c:idx val="53"/>
            <c:marker>
              <c:symbol val="circle"/>
              <c:size val="10"/>
              <c:spPr>
                <a:solidFill>
                  <a:srgbClr val="4901FF"/>
                </a:solidFill>
                <a:ln w="9525">
                  <a:solidFill>
                    <a:schemeClr val="accent1"/>
                  </a:solidFill>
                </a:ln>
                <a:effectLst/>
              </c:spPr>
            </c:marker>
            <c:bubble3D val="0"/>
            <c:extLst>
              <c:ext xmlns:c16="http://schemas.microsoft.com/office/drawing/2014/chart" uri="{C3380CC4-5D6E-409C-BE32-E72D297353CC}">
                <c16:uniqueId val="{00000036-4C50-477E-9A25-D6C5AE8CA358}"/>
              </c:ext>
            </c:extLst>
          </c:dPt>
          <c:dPt>
            <c:idx val="54"/>
            <c:marker>
              <c:symbol val="circle"/>
              <c:size val="10"/>
              <c:spPr>
                <a:solidFill>
                  <a:srgbClr val="5B01FF"/>
                </a:solidFill>
                <a:ln w="9525">
                  <a:solidFill>
                    <a:schemeClr val="accent1"/>
                  </a:solidFill>
                </a:ln>
                <a:effectLst/>
              </c:spPr>
            </c:marker>
            <c:bubble3D val="0"/>
            <c:extLst>
              <c:ext xmlns:c16="http://schemas.microsoft.com/office/drawing/2014/chart" uri="{C3380CC4-5D6E-409C-BE32-E72D297353CC}">
                <c16:uniqueId val="{00000037-4C50-477E-9A25-D6C5AE8CA358}"/>
              </c:ext>
            </c:extLst>
          </c:dPt>
          <c:dPt>
            <c:idx val="55"/>
            <c:marker>
              <c:symbol val="circle"/>
              <c:size val="10"/>
              <c:spPr>
                <a:solidFill>
                  <a:srgbClr val="6701FF"/>
                </a:solidFill>
                <a:ln w="9525">
                  <a:solidFill>
                    <a:schemeClr val="accent1"/>
                  </a:solidFill>
                </a:ln>
                <a:effectLst/>
              </c:spPr>
            </c:marker>
            <c:bubble3D val="0"/>
            <c:extLst>
              <c:ext xmlns:c16="http://schemas.microsoft.com/office/drawing/2014/chart" uri="{C3380CC4-5D6E-409C-BE32-E72D297353CC}">
                <c16:uniqueId val="{00000038-4C50-477E-9A25-D6C5AE8CA358}"/>
              </c:ext>
            </c:extLst>
          </c:dPt>
          <c:dPt>
            <c:idx val="56"/>
            <c:marker>
              <c:symbol val="circle"/>
              <c:size val="10"/>
              <c:spPr>
                <a:solidFill>
                  <a:srgbClr val="7901FF"/>
                </a:solidFill>
                <a:ln w="9525">
                  <a:solidFill>
                    <a:schemeClr val="accent1"/>
                  </a:solidFill>
                </a:ln>
                <a:effectLst/>
              </c:spPr>
            </c:marker>
            <c:bubble3D val="0"/>
            <c:extLst>
              <c:ext xmlns:c16="http://schemas.microsoft.com/office/drawing/2014/chart" uri="{C3380CC4-5D6E-409C-BE32-E72D297353CC}">
                <c16:uniqueId val="{00000039-4C50-477E-9A25-D6C5AE8CA358}"/>
              </c:ext>
            </c:extLst>
          </c:dPt>
          <c:dPt>
            <c:idx val="57"/>
            <c:marker>
              <c:symbol val="circle"/>
              <c:size val="10"/>
              <c:spPr>
                <a:solidFill>
                  <a:srgbClr val="8401FF"/>
                </a:solidFill>
                <a:ln w="9525">
                  <a:solidFill>
                    <a:schemeClr val="accent1"/>
                  </a:solidFill>
                </a:ln>
                <a:effectLst/>
              </c:spPr>
            </c:marker>
            <c:bubble3D val="0"/>
            <c:extLst>
              <c:ext xmlns:c16="http://schemas.microsoft.com/office/drawing/2014/chart" uri="{C3380CC4-5D6E-409C-BE32-E72D297353CC}">
                <c16:uniqueId val="{0000003A-4C50-477E-9A25-D6C5AE8CA358}"/>
              </c:ext>
            </c:extLst>
          </c:dPt>
          <c:dPt>
            <c:idx val="58"/>
            <c:marker>
              <c:symbol val="circle"/>
              <c:size val="10"/>
              <c:spPr>
                <a:solidFill>
                  <a:srgbClr val="9601FF"/>
                </a:solidFill>
                <a:ln w="9525">
                  <a:solidFill>
                    <a:schemeClr val="accent1"/>
                  </a:solidFill>
                </a:ln>
                <a:effectLst/>
              </c:spPr>
            </c:marker>
            <c:bubble3D val="0"/>
            <c:extLst>
              <c:ext xmlns:c16="http://schemas.microsoft.com/office/drawing/2014/chart" uri="{C3380CC4-5D6E-409C-BE32-E72D297353CC}">
                <c16:uniqueId val="{0000003B-4C50-477E-9A25-D6C5AE8CA358}"/>
              </c:ext>
            </c:extLst>
          </c:dPt>
          <c:xVal>
            <c:numRef>
              <c:f>Arch!$I$2:$I$60</c:f>
              <c:numCache>
                <c:formatCode>General</c:formatCode>
                <c:ptCount val="59"/>
                <c:pt idx="0">
                  <c:v>10.185391954155202</c:v>
                </c:pt>
                <c:pt idx="1">
                  <c:v>11.955278045502313</c:v>
                </c:pt>
                <c:pt idx="2">
                  <c:v>13.717102357227432</c:v>
                </c:pt>
                <c:pt idx="3">
                  <c:v>15.30656950633667</c:v>
                </c:pt>
                <c:pt idx="4">
                  <c:v>16.994504836384529</c:v>
                </c:pt>
                <c:pt idx="5">
                  <c:v>17.883265076945321</c:v>
                </c:pt>
                <c:pt idx="6">
                  <c:v>16.945582828708918</c:v>
                </c:pt>
                <c:pt idx="7">
                  <c:v>18.317267919750801</c:v>
                </c:pt>
                <c:pt idx="8">
                  <c:v>20.098898414394167</c:v>
                </c:pt>
                <c:pt idx="9">
                  <c:v>21.777309685461937</c:v>
                </c:pt>
                <c:pt idx="10">
                  <c:v>23.540770726735566</c:v>
                </c:pt>
                <c:pt idx="11">
                  <c:v>25.345658153082617</c:v>
                </c:pt>
                <c:pt idx="12">
                  <c:v>26.594542276977069</c:v>
                </c:pt>
                <c:pt idx="13">
                  <c:v>26.212947444118498</c:v>
                </c:pt>
                <c:pt idx="14">
                  <c:v>27.877469652013211</c:v>
                </c:pt>
                <c:pt idx="15">
                  <c:v>29.655414348039926</c:v>
                </c:pt>
                <c:pt idx="16">
                  <c:v>31.40691872498909</c:v>
                </c:pt>
                <c:pt idx="17">
                  <c:v>33.293133085104131</c:v>
                </c:pt>
                <c:pt idx="18">
                  <c:v>34.945149912500526</c:v>
                </c:pt>
                <c:pt idx="19">
                  <c:v>35.335891490944988</c:v>
                </c:pt>
                <c:pt idx="20">
                  <c:v>36.001521757842241</c:v>
                </c:pt>
                <c:pt idx="21">
                  <c:v>37.776249494987681</c:v>
                </c:pt>
                <c:pt idx="22">
                  <c:v>39.579742129083563</c:v>
                </c:pt>
                <c:pt idx="23">
                  <c:v>41.327305371845071</c:v>
                </c:pt>
                <c:pt idx="24">
                  <c:v>42.981453570212892</c:v>
                </c:pt>
                <c:pt idx="25">
                  <c:v>43.699378721613265</c:v>
                </c:pt>
                <c:pt idx="26">
                  <c:v>42.811678266629933</c:v>
                </c:pt>
                <c:pt idx="27">
                  <c:v>44.236887106445799</c:v>
                </c:pt>
                <c:pt idx="28">
                  <c:v>45.547207398197607</c:v>
                </c:pt>
                <c:pt idx="29">
                  <c:v>46.928739026425646</c:v>
                </c:pt>
                <c:pt idx="30">
                  <c:v>48.130390786315715</c:v>
                </c:pt>
                <c:pt idx="31">
                  <c:v>47.083244064237419</c:v>
                </c:pt>
                <c:pt idx="32">
                  <c:v>45.213474680230775</c:v>
                </c:pt>
                <c:pt idx="33">
                  <c:v>43.340179713714008</c:v>
                </c:pt>
                <c:pt idx="34">
                  <c:v>41.476584468022338</c:v>
                </c:pt>
                <c:pt idx="35">
                  <c:v>39.695144030400044</c:v>
                </c:pt>
                <c:pt idx="36">
                  <c:v>37.768536845591314</c:v>
                </c:pt>
                <c:pt idx="37">
                  <c:v>36.283406207681949</c:v>
                </c:pt>
                <c:pt idx="38">
                  <c:v>37.277187766067136</c:v>
                </c:pt>
                <c:pt idx="39">
                  <c:v>37.139965704588256</c:v>
                </c:pt>
                <c:pt idx="40">
                  <c:v>35.419653496717828</c:v>
                </c:pt>
                <c:pt idx="41">
                  <c:v>33.622500949684664</c:v>
                </c:pt>
                <c:pt idx="42">
                  <c:v>31.771663124631313</c:v>
                </c:pt>
                <c:pt idx="43">
                  <c:v>29.95220375241863</c:v>
                </c:pt>
                <c:pt idx="44">
                  <c:v>29.644404231620452</c:v>
                </c:pt>
                <c:pt idx="45">
                  <c:v>30.057880177283472</c:v>
                </c:pt>
                <c:pt idx="46">
                  <c:v>28.45216706116004</c:v>
                </c:pt>
                <c:pt idx="47">
                  <c:v>26.593877705343473</c:v>
                </c:pt>
                <c:pt idx="48">
                  <c:v>24.723566146858246</c:v>
                </c:pt>
                <c:pt idx="49">
                  <c:v>22.886746202060998</c:v>
                </c:pt>
                <c:pt idx="50">
                  <c:v>21.306353252629712</c:v>
                </c:pt>
                <c:pt idx="51">
                  <c:v>21.451299616530196</c:v>
                </c:pt>
                <c:pt idx="52">
                  <c:v>20.181016219553182</c:v>
                </c:pt>
                <c:pt idx="53">
                  <c:v>18.286664782775802</c:v>
                </c:pt>
                <c:pt idx="54">
                  <c:v>16.493219574680214</c:v>
                </c:pt>
                <c:pt idx="55">
                  <c:v>14.77949539709789</c:v>
                </c:pt>
                <c:pt idx="56">
                  <c:v>13.702808877601662</c:v>
                </c:pt>
                <c:pt idx="57">
                  <c:v>11.981317988965676</c:v>
                </c:pt>
                <c:pt idx="58">
                  <c:v>10.245592776874039</c:v>
                </c:pt>
              </c:numCache>
            </c:numRef>
          </c:xVal>
          <c:yVal>
            <c:numRef>
              <c:f>Arch!$H$2:$H$60</c:f>
              <c:numCache>
                <c:formatCode>General</c:formatCode>
                <c:ptCount val="59"/>
                <c:pt idx="0">
                  <c:v>36.066009846335994</c:v>
                </c:pt>
                <c:pt idx="1">
                  <c:v>35.769831138590391</c:v>
                </c:pt>
                <c:pt idx="2">
                  <c:v>35.455259005363949</c:v>
                </c:pt>
                <c:pt idx="3">
                  <c:v>35.842902262971393</c:v>
                </c:pt>
                <c:pt idx="4">
                  <c:v>36.035257700619155</c:v>
                </c:pt>
                <c:pt idx="5">
                  <c:v>35.084950943240329</c:v>
                </c:pt>
                <c:pt idx="6">
                  <c:v>33.378611341479697</c:v>
                </c:pt>
                <c:pt idx="7">
                  <c:v>33.019930724955231</c:v>
                </c:pt>
                <c:pt idx="8">
                  <c:v>32.703363327870534</c:v>
                </c:pt>
                <c:pt idx="9">
                  <c:v>33.009514030971381</c:v>
                </c:pt>
                <c:pt idx="10">
                  <c:v>33.172868291123009</c:v>
                </c:pt>
                <c:pt idx="11">
                  <c:v>33.009164930844605</c:v>
                </c:pt>
                <c:pt idx="12">
                  <c:v>31.671674236173779</c:v>
                </c:pt>
                <c:pt idx="13">
                  <c:v>29.81195333245698</c:v>
                </c:pt>
                <c:pt idx="14">
                  <c:v>29.166658886920537</c:v>
                </c:pt>
                <c:pt idx="15">
                  <c:v>28.957065170731589</c:v>
                </c:pt>
                <c:pt idx="16">
                  <c:v>29.095776982823249</c:v>
                </c:pt>
                <c:pt idx="17">
                  <c:v>28.983306572954454</c:v>
                </c:pt>
                <c:pt idx="18">
                  <c:v>28.015570128907889</c:v>
                </c:pt>
                <c:pt idx="19">
                  <c:v>26.465455704072674</c:v>
                </c:pt>
                <c:pt idx="20">
                  <c:v>25.269959452668687</c:v>
                </c:pt>
                <c:pt idx="21">
                  <c:v>24.475606931421474</c:v>
                </c:pt>
                <c:pt idx="22">
                  <c:v>23.929804370640937</c:v>
                </c:pt>
                <c:pt idx="23">
                  <c:v>23.273358185100172</c:v>
                </c:pt>
                <c:pt idx="24">
                  <c:v>22.312022549317874</c:v>
                </c:pt>
                <c:pt idx="25">
                  <c:v>20.781194662768701</c:v>
                </c:pt>
                <c:pt idx="26">
                  <c:v>19.471988305806214</c:v>
                </c:pt>
                <c:pt idx="27">
                  <c:v>18.209293623592014</c:v>
                </c:pt>
                <c:pt idx="28">
                  <c:v>16.771468846886783</c:v>
                </c:pt>
                <c:pt idx="29">
                  <c:v>15.41163652554642</c:v>
                </c:pt>
                <c:pt idx="30">
                  <c:v>13.926574916793129</c:v>
                </c:pt>
                <c:pt idx="31">
                  <c:v>12.639401621222433</c:v>
                </c:pt>
                <c:pt idx="32">
                  <c:v>12.055224414464671</c:v>
                </c:pt>
                <c:pt idx="33">
                  <c:v>11.498271423652163</c:v>
                </c:pt>
                <c:pt idx="34">
                  <c:v>10.919588672697003</c:v>
                </c:pt>
                <c:pt idx="35">
                  <c:v>10.366821063921238</c:v>
                </c:pt>
                <c:pt idx="36">
                  <c:v>10.07033110047027</c:v>
                </c:pt>
                <c:pt idx="37">
                  <c:v>9.507766595674541</c:v>
                </c:pt>
                <c:pt idx="38">
                  <c:v>7.9115093816551783</c:v>
                </c:pt>
                <c:pt idx="39">
                  <c:v>6.2274817200143433</c:v>
                </c:pt>
                <c:pt idx="40">
                  <c:v>5.5549839642138084</c:v>
                </c:pt>
                <c:pt idx="41">
                  <c:v>5.3383861110726079</c:v>
                </c:pt>
                <c:pt idx="42">
                  <c:v>5.5426804467216755</c:v>
                </c:pt>
                <c:pt idx="43">
                  <c:v>5.7573099561464902</c:v>
                </c:pt>
                <c:pt idx="44">
                  <c:v>4.5927911535113113</c:v>
                </c:pt>
                <c:pt idx="45">
                  <c:v>2.6961320049633604</c:v>
                </c:pt>
                <c:pt idx="46">
                  <c:v>2.0658487960736966</c:v>
                </c:pt>
                <c:pt idx="47">
                  <c:v>2.2888603001480385</c:v>
                </c:pt>
                <c:pt idx="48">
                  <c:v>2.4152321069723883</c:v>
                </c:pt>
                <c:pt idx="49">
                  <c:v>2.8764098447741135</c:v>
                </c:pt>
                <c:pt idx="50">
                  <c:v>2.4381174196466806</c:v>
                </c:pt>
                <c:pt idx="51">
                  <c:v>0.59858382331426707</c:v>
                </c:pt>
                <c:pt idx="52">
                  <c:v>-0.28505860706214498</c:v>
                </c:pt>
                <c:pt idx="53">
                  <c:v>0.16014042678031171</c:v>
                </c:pt>
                <c:pt idx="54">
                  <c:v>0.62730645024697362</c:v>
                </c:pt>
                <c:pt idx="55">
                  <c:v>0.97797817764509531</c:v>
                </c:pt>
                <c:pt idx="56">
                  <c:v>-0.22407835097434539</c:v>
                </c:pt>
                <c:pt idx="57">
                  <c:v>0.37386210053711921</c:v>
                </c:pt>
                <c:pt idx="58">
                  <c:v>1.1489184395648879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14-AD50-48D9-A1C2-0BFC8ABC3756}"/>
            </c:ext>
          </c:extLst>
        </c:ser>
        <c:ser>
          <c:idx val="1"/>
          <c:order val="1"/>
          <c:tx>
            <c:v>Base</c:v>
          </c:tx>
          <c:spPr>
            <a:ln w="19050" cap="rnd">
              <a:solidFill>
                <a:schemeClr val="accent2"/>
              </a:solidFill>
              <a:round/>
            </a:ln>
            <a:effectLst/>
          </c:spPr>
          <c:marker>
            <c:symbol val="none"/>
          </c:marker>
          <c:dPt>
            <c:idx val="19"/>
            <c:marker>
              <c:symbol val="none"/>
            </c:marker>
            <c:bubble3D val="0"/>
            <c:extLst>
              <c:ext xmlns:c16="http://schemas.microsoft.com/office/drawing/2014/chart" uri="{C3380CC4-5D6E-409C-BE32-E72D297353CC}">
                <c16:uniqueId val="{00000013-26A9-44CE-9B9D-948A8AC98817}"/>
              </c:ext>
            </c:extLst>
          </c:dPt>
          <c:xVal>
            <c:numRef>
              <c:f>Base!$I$2:$I$21</c:f>
              <c:numCache>
                <c:formatCode>General</c:formatCode>
                <c:ptCount val="20"/>
                <c:pt idx="0">
                  <c:v>8.526209831237793</c:v>
                </c:pt>
                <c:pt idx="1">
                  <c:v>7.7378903974518671</c:v>
                </c:pt>
                <c:pt idx="2">
                  <c:v>8.6495438438248442</c:v>
                </c:pt>
                <c:pt idx="3">
                  <c:v>9.21030866933285</c:v>
                </c:pt>
                <c:pt idx="4">
                  <c:v>10.314599169737038</c:v>
                </c:pt>
                <c:pt idx="5">
                  <c:v>11.153500658026353</c:v>
                </c:pt>
                <c:pt idx="6">
                  <c:v>9.9378186291302875</c:v>
                </c:pt>
                <c:pt idx="7">
                  <c:v>9.1086367813538658</c:v>
                </c:pt>
                <c:pt idx="8">
                  <c:v>7.8809415270234533</c:v>
                </c:pt>
                <c:pt idx="9">
                  <c:v>7.2252750852123473</c:v>
                </c:pt>
                <c:pt idx="10">
                  <c:v>8.3503875732421875</c:v>
                </c:pt>
                <c:pt idx="11">
                  <c:v>9.2665027375444762</c:v>
                </c:pt>
                <c:pt idx="12">
                  <c:v>8.3223110361798014</c:v>
                </c:pt>
                <c:pt idx="13">
                  <c:v>5.6309749641018811</c:v>
                </c:pt>
                <c:pt idx="14">
                  <c:v>7.2146699669787111</c:v>
                </c:pt>
                <c:pt idx="15">
                  <c:v>8.7702641455289445</c:v>
                </c:pt>
                <c:pt idx="16">
                  <c:v>10.391627065539124</c:v>
                </c:pt>
                <c:pt idx="17">
                  <c:v>10.022898827638143</c:v>
                </c:pt>
                <c:pt idx="18">
                  <c:v>8.6846130035911049</c:v>
                </c:pt>
                <c:pt idx="19">
                  <c:v>8.3837897434089044</c:v>
                </c:pt>
              </c:numCache>
            </c:numRef>
          </c:xVal>
          <c:yVal>
            <c:numRef>
              <c:f>Base!$H$2:$H$21</c:f>
              <c:numCache>
                <c:formatCode>General</c:formatCode>
                <c:ptCount val="20"/>
                <c:pt idx="0">
                  <c:v>34.088539123535156</c:v>
                </c:pt>
                <c:pt idx="1">
                  <c:v>31.851467794587027</c:v>
                </c:pt>
                <c:pt idx="2">
                  <c:v>28.467178932877331</c:v>
                </c:pt>
                <c:pt idx="3">
                  <c:v>24.24344574432326</c:v>
                </c:pt>
                <c:pt idx="4">
                  <c:v>20.339242902651513</c:v>
                </c:pt>
                <c:pt idx="5">
                  <c:v>16.984474528309125</c:v>
                </c:pt>
                <c:pt idx="6">
                  <c:v>13.747956596199705</c:v>
                </c:pt>
                <c:pt idx="7">
                  <c:v>10.308883520962301</c:v>
                </c:pt>
                <c:pt idx="8">
                  <c:v>6.5361504225058846</c:v>
                </c:pt>
                <c:pt idx="9">
                  <c:v>3.5410873638604485</c:v>
                </c:pt>
                <c:pt idx="10">
                  <c:v>1.5707168579101563</c:v>
                </c:pt>
                <c:pt idx="11">
                  <c:v>2.3255512058347465</c:v>
                </c:pt>
                <c:pt idx="12">
                  <c:v>5.6972256201529046</c:v>
                </c:pt>
                <c:pt idx="13">
                  <c:v>10.133953021715399</c:v>
                </c:pt>
                <c:pt idx="14">
                  <c:v>15.344019948801691</c:v>
                </c:pt>
                <c:pt idx="15">
                  <c:v>20.225982075776543</c:v>
                </c:pt>
                <c:pt idx="16">
                  <c:v>25.072938550499821</c:v>
                </c:pt>
                <c:pt idx="17">
                  <c:v>29.845343476201815</c:v>
                </c:pt>
                <c:pt idx="18">
                  <c:v>33.398653118411595</c:v>
                </c:pt>
                <c:pt idx="19">
                  <c:v>35.474393995158721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15-AD50-48D9-A1C2-0BFC8ABC3756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392344304"/>
        <c:axId val="392341424"/>
      </c:scatterChart>
      <c:valAx>
        <c:axId val="392344304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392341424"/>
        <c:crosses val="autoZero"/>
        <c:crossBetween val="midCat"/>
      </c:valAx>
      <c:valAx>
        <c:axId val="39234142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392344304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6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scatterChart>
        <c:scatterStyle val="smoothMarker"/>
        <c:varyColors val="0"/>
        <c:ser>
          <c:idx val="0"/>
          <c:order val="0"/>
          <c:tx>
            <c:strRef>
              <c:f>Arch!$I$1</c:f>
              <c:strCache>
                <c:ptCount val="1"/>
                <c:pt idx="0">
                  <c:v>Z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10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dPt>
            <c:idx val="0"/>
            <c:marker>
              <c:spPr>
                <a:solidFill>
                  <a:srgbClr val="D2FF01"/>
                </a:solidFill>
                <a:ln w="9525">
                  <a:solidFill>
                    <a:schemeClr val="accent1"/>
                  </a:solidFill>
                </a:ln>
                <a:effectLst/>
              </c:spPr>
            </c:marker>
            <c:bubble3D val="0"/>
            <c:extLst>
              <c:ext xmlns:c16="http://schemas.microsoft.com/office/drawing/2014/chart" uri="{C3380CC4-5D6E-409C-BE32-E72D297353CC}">
                <c16:uniqueId val="{00000016-593C-4E66-9DC7-5860591BD24B}"/>
              </c:ext>
            </c:extLst>
          </c:dPt>
          <c:dPt>
            <c:idx val="1"/>
            <c:marker>
              <c:spPr>
                <a:solidFill>
                  <a:srgbClr val="C6FF01"/>
                </a:solidFill>
                <a:ln w="9525">
                  <a:solidFill>
                    <a:schemeClr val="accent1"/>
                  </a:solidFill>
                </a:ln>
                <a:effectLst/>
              </c:spPr>
            </c:marker>
            <c:bubble3D val="0"/>
            <c:extLst>
              <c:ext xmlns:c16="http://schemas.microsoft.com/office/drawing/2014/chart" uri="{C3380CC4-5D6E-409C-BE32-E72D297353CC}">
                <c16:uniqueId val="{00000017-593C-4E66-9DC7-5860591BD24B}"/>
              </c:ext>
            </c:extLst>
          </c:dPt>
          <c:dPt>
            <c:idx val="2"/>
            <c:marker>
              <c:spPr>
                <a:solidFill>
                  <a:srgbClr val="B4FF01"/>
                </a:solidFill>
                <a:ln w="9525">
                  <a:solidFill>
                    <a:schemeClr val="accent1"/>
                  </a:solidFill>
                </a:ln>
                <a:effectLst/>
              </c:spPr>
            </c:marker>
            <c:bubble3D val="0"/>
            <c:extLst>
              <c:ext xmlns:c16="http://schemas.microsoft.com/office/drawing/2014/chart" uri="{C3380CC4-5D6E-409C-BE32-E72D297353CC}">
                <c16:uniqueId val="{00000018-593C-4E66-9DC7-5860591BD24B}"/>
              </c:ext>
            </c:extLst>
          </c:dPt>
          <c:dPt>
            <c:idx val="3"/>
            <c:marker>
              <c:spPr>
                <a:solidFill>
                  <a:srgbClr val="A8FF01"/>
                </a:solidFill>
                <a:ln w="9525">
                  <a:solidFill>
                    <a:schemeClr val="accent1"/>
                  </a:solidFill>
                </a:ln>
                <a:effectLst/>
              </c:spPr>
            </c:marker>
            <c:bubble3D val="0"/>
            <c:extLst>
              <c:ext xmlns:c16="http://schemas.microsoft.com/office/drawing/2014/chart" uri="{C3380CC4-5D6E-409C-BE32-E72D297353CC}">
                <c16:uniqueId val="{00000019-593C-4E66-9DC7-5860591BD24B}"/>
              </c:ext>
            </c:extLst>
          </c:dPt>
          <c:dPt>
            <c:idx val="4"/>
            <c:marker>
              <c:spPr>
                <a:solidFill>
                  <a:srgbClr val="96FF01"/>
                </a:solidFill>
                <a:ln w="9525">
                  <a:solidFill>
                    <a:schemeClr val="accent1"/>
                  </a:solidFill>
                </a:ln>
                <a:effectLst/>
              </c:spPr>
            </c:marker>
            <c:bubble3D val="0"/>
            <c:extLst>
              <c:ext xmlns:c16="http://schemas.microsoft.com/office/drawing/2014/chart" uri="{C3380CC4-5D6E-409C-BE32-E72D297353CC}">
                <c16:uniqueId val="{0000001A-593C-4E66-9DC7-5860591BD24B}"/>
              </c:ext>
            </c:extLst>
          </c:dPt>
          <c:dPt>
            <c:idx val="5"/>
            <c:marker>
              <c:spPr>
                <a:solidFill>
                  <a:srgbClr val="8AFF01"/>
                </a:solidFill>
                <a:ln w="9525">
                  <a:solidFill>
                    <a:schemeClr val="accent1"/>
                  </a:solidFill>
                </a:ln>
                <a:effectLst/>
              </c:spPr>
            </c:marker>
            <c:bubble3D val="0"/>
            <c:extLst>
              <c:ext xmlns:c16="http://schemas.microsoft.com/office/drawing/2014/chart" uri="{C3380CC4-5D6E-409C-BE32-E72D297353CC}">
                <c16:uniqueId val="{0000001B-593C-4E66-9DC7-5860591BD24B}"/>
              </c:ext>
            </c:extLst>
          </c:dPt>
          <c:dPt>
            <c:idx val="6"/>
            <c:marker>
              <c:spPr>
                <a:solidFill>
                  <a:srgbClr val="79FF01"/>
                </a:solidFill>
                <a:ln w="9525">
                  <a:solidFill>
                    <a:schemeClr val="accent1"/>
                  </a:solidFill>
                </a:ln>
                <a:effectLst/>
              </c:spPr>
            </c:marker>
            <c:bubble3D val="0"/>
            <c:extLst>
              <c:ext xmlns:c16="http://schemas.microsoft.com/office/drawing/2014/chart" uri="{C3380CC4-5D6E-409C-BE32-E72D297353CC}">
                <c16:uniqueId val="{0000001C-593C-4E66-9DC7-5860591BD24B}"/>
              </c:ext>
            </c:extLst>
          </c:dPt>
          <c:dPt>
            <c:idx val="7"/>
            <c:marker>
              <c:spPr>
                <a:solidFill>
                  <a:srgbClr val="6DFF01"/>
                </a:solidFill>
                <a:ln w="9525">
                  <a:solidFill>
                    <a:schemeClr val="accent1"/>
                  </a:solidFill>
                </a:ln>
                <a:effectLst/>
              </c:spPr>
            </c:marker>
            <c:bubble3D val="0"/>
            <c:extLst>
              <c:ext xmlns:c16="http://schemas.microsoft.com/office/drawing/2014/chart" uri="{C3380CC4-5D6E-409C-BE32-E72D297353CC}">
                <c16:uniqueId val="{0000001D-593C-4E66-9DC7-5860591BD24B}"/>
              </c:ext>
            </c:extLst>
          </c:dPt>
          <c:dPt>
            <c:idx val="8"/>
            <c:marker>
              <c:spPr>
                <a:solidFill>
                  <a:srgbClr val="5BFF01"/>
                </a:solidFill>
                <a:ln w="9525">
                  <a:solidFill>
                    <a:schemeClr val="accent1"/>
                  </a:solidFill>
                </a:ln>
                <a:effectLst/>
              </c:spPr>
            </c:marker>
            <c:bubble3D val="0"/>
            <c:extLst>
              <c:ext xmlns:c16="http://schemas.microsoft.com/office/drawing/2014/chart" uri="{C3380CC4-5D6E-409C-BE32-E72D297353CC}">
                <c16:uniqueId val="{0000001E-593C-4E66-9DC7-5860591BD24B}"/>
              </c:ext>
            </c:extLst>
          </c:dPt>
          <c:dPt>
            <c:idx val="9"/>
            <c:marker>
              <c:spPr>
                <a:solidFill>
                  <a:srgbClr val="4FFF01"/>
                </a:solidFill>
                <a:ln w="9525">
                  <a:solidFill>
                    <a:schemeClr val="accent1"/>
                  </a:solidFill>
                </a:ln>
                <a:effectLst/>
              </c:spPr>
            </c:marker>
            <c:bubble3D val="0"/>
            <c:extLst>
              <c:ext xmlns:c16="http://schemas.microsoft.com/office/drawing/2014/chart" uri="{C3380CC4-5D6E-409C-BE32-E72D297353CC}">
                <c16:uniqueId val="{0000001F-593C-4E66-9DC7-5860591BD24B}"/>
              </c:ext>
            </c:extLst>
          </c:dPt>
          <c:dPt>
            <c:idx val="10"/>
            <c:marker>
              <c:spPr>
                <a:solidFill>
                  <a:srgbClr val="3DFF01"/>
                </a:solidFill>
                <a:ln w="9525">
                  <a:solidFill>
                    <a:schemeClr val="accent1"/>
                  </a:solidFill>
                </a:ln>
                <a:effectLst/>
              </c:spPr>
            </c:marker>
            <c:bubble3D val="0"/>
            <c:extLst>
              <c:ext xmlns:c16="http://schemas.microsoft.com/office/drawing/2014/chart" uri="{C3380CC4-5D6E-409C-BE32-E72D297353CC}">
                <c16:uniqueId val="{00000020-593C-4E66-9DC7-5860591BD24B}"/>
              </c:ext>
            </c:extLst>
          </c:dPt>
          <c:dPt>
            <c:idx val="11"/>
            <c:marker>
              <c:spPr>
                <a:solidFill>
                  <a:srgbClr val="31FF01"/>
                </a:solidFill>
                <a:ln w="9525">
                  <a:solidFill>
                    <a:schemeClr val="accent1"/>
                  </a:solidFill>
                </a:ln>
                <a:effectLst/>
              </c:spPr>
            </c:marker>
            <c:bubble3D val="0"/>
            <c:extLst>
              <c:ext xmlns:c16="http://schemas.microsoft.com/office/drawing/2014/chart" uri="{C3380CC4-5D6E-409C-BE32-E72D297353CC}">
                <c16:uniqueId val="{00000021-593C-4E66-9DC7-5860591BD24B}"/>
              </c:ext>
            </c:extLst>
          </c:dPt>
          <c:dPt>
            <c:idx val="12"/>
            <c:marker>
              <c:spPr>
                <a:solidFill>
                  <a:srgbClr val="1FFF01"/>
                </a:solidFill>
                <a:ln w="9525">
                  <a:solidFill>
                    <a:schemeClr val="accent1"/>
                  </a:solidFill>
                </a:ln>
                <a:effectLst/>
              </c:spPr>
            </c:marker>
            <c:bubble3D val="0"/>
            <c:extLst>
              <c:ext xmlns:c16="http://schemas.microsoft.com/office/drawing/2014/chart" uri="{C3380CC4-5D6E-409C-BE32-E72D297353CC}">
                <c16:uniqueId val="{00000022-593C-4E66-9DC7-5860591BD24B}"/>
              </c:ext>
            </c:extLst>
          </c:dPt>
          <c:dPt>
            <c:idx val="13"/>
            <c:marker>
              <c:spPr>
                <a:solidFill>
                  <a:srgbClr val="13FF01"/>
                </a:solidFill>
                <a:ln w="9525">
                  <a:solidFill>
                    <a:schemeClr val="accent1"/>
                  </a:solidFill>
                </a:ln>
                <a:effectLst/>
              </c:spPr>
            </c:marker>
            <c:bubble3D val="0"/>
            <c:extLst>
              <c:ext xmlns:c16="http://schemas.microsoft.com/office/drawing/2014/chart" uri="{C3380CC4-5D6E-409C-BE32-E72D297353CC}">
                <c16:uniqueId val="{00000023-593C-4E66-9DC7-5860591BD24B}"/>
              </c:ext>
            </c:extLst>
          </c:dPt>
          <c:dPt>
            <c:idx val="14"/>
            <c:marker>
              <c:spPr>
                <a:solidFill>
                  <a:srgbClr val="01FF01"/>
                </a:solidFill>
                <a:ln w="9525">
                  <a:solidFill>
                    <a:schemeClr val="accent1"/>
                  </a:solidFill>
                </a:ln>
                <a:effectLst/>
              </c:spPr>
            </c:marker>
            <c:bubble3D val="0"/>
            <c:extLst>
              <c:ext xmlns:c16="http://schemas.microsoft.com/office/drawing/2014/chart" uri="{C3380CC4-5D6E-409C-BE32-E72D297353CC}">
                <c16:uniqueId val="{00000024-593C-4E66-9DC7-5860591BD24B}"/>
              </c:ext>
            </c:extLst>
          </c:dPt>
          <c:dPt>
            <c:idx val="15"/>
            <c:marker>
              <c:spPr>
                <a:solidFill>
                  <a:srgbClr val="01FF0D"/>
                </a:solidFill>
                <a:ln w="9525">
                  <a:solidFill>
                    <a:schemeClr val="accent1"/>
                  </a:solidFill>
                </a:ln>
                <a:effectLst/>
              </c:spPr>
            </c:marker>
            <c:bubble3D val="0"/>
            <c:extLst>
              <c:ext xmlns:c16="http://schemas.microsoft.com/office/drawing/2014/chart" uri="{C3380CC4-5D6E-409C-BE32-E72D297353CC}">
                <c16:uniqueId val="{00000025-593C-4E66-9DC7-5860591BD24B}"/>
              </c:ext>
            </c:extLst>
          </c:dPt>
          <c:dPt>
            <c:idx val="16"/>
            <c:marker>
              <c:spPr>
                <a:solidFill>
                  <a:srgbClr val="01FF1F"/>
                </a:solidFill>
                <a:ln w="9525">
                  <a:solidFill>
                    <a:schemeClr val="accent1"/>
                  </a:solidFill>
                </a:ln>
                <a:effectLst/>
              </c:spPr>
            </c:marker>
            <c:bubble3D val="0"/>
            <c:extLst>
              <c:ext xmlns:c16="http://schemas.microsoft.com/office/drawing/2014/chart" uri="{C3380CC4-5D6E-409C-BE32-E72D297353CC}">
                <c16:uniqueId val="{00000026-593C-4E66-9DC7-5860591BD24B}"/>
              </c:ext>
            </c:extLst>
          </c:dPt>
          <c:dPt>
            <c:idx val="17"/>
            <c:marker>
              <c:spPr>
                <a:solidFill>
                  <a:srgbClr val="01FF2B"/>
                </a:solidFill>
                <a:ln w="9525">
                  <a:solidFill>
                    <a:schemeClr val="accent1"/>
                  </a:solidFill>
                </a:ln>
                <a:effectLst/>
              </c:spPr>
            </c:marker>
            <c:bubble3D val="0"/>
            <c:extLst>
              <c:ext xmlns:c16="http://schemas.microsoft.com/office/drawing/2014/chart" uri="{C3380CC4-5D6E-409C-BE32-E72D297353CC}">
                <c16:uniqueId val="{00000027-593C-4E66-9DC7-5860591BD24B}"/>
              </c:ext>
            </c:extLst>
          </c:dPt>
          <c:dPt>
            <c:idx val="18"/>
            <c:marker>
              <c:spPr>
                <a:solidFill>
                  <a:srgbClr val="01FF3D"/>
                </a:solidFill>
                <a:ln w="9525">
                  <a:solidFill>
                    <a:schemeClr val="accent1"/>
                  </a:solidFill>
                </a:ln>
                <a:effectLst/>
              </c:spPr>
            </c:marker>
            <c:bubble3D val="0"/>
            <c:extLst>
              <c:ext xmlns:c16="http://schemas.microsoft.com/office/drawing/2014/chart" uri="{C3380CC4-5D6E-409C-BE32-E72D297353CC}">
                <c16:uniqueId val="{00000028-593C-4E66-9DC7-5860591BD24B}"/>
              </c:ext>
            </c:extLst>
          </c:dPt>
          <c:dPt>
            <c:idx val="19"/>
            <c:marker>
              <c:spPr>
                <a:solidFill>
                  <a:srgbClr val="01FF49"/>
                </a:solidFill>
                <a:ln w="9525">
                  <a:solidFill>
                    <a:schemeClr val="accent1"/>
                  </a:solidFill>
                </a:ln>
                <a:effectLst/>
              </c:spPr>
            </c:marker>
            <c:bubble3D val="0"/>
            <c:extLst>
              <c:ext xmlns:c16="http://schemas.microsoft.com/office/drawing/2014/chart" uri="{C3380CC4-5D6E-409C-BE32-E72D297353CC}">
                <c16:uniqueId val="{00000014-D321-4EEB-9568-F986D3A2262E}"/>
              </c:ext>
            </c:extLst>
          </c:dPt>
          <c:dPt>
            <c:idx val="20"/>
            <c:marker>
              <c:spPr>
                <a:solidFill>
                  <a:srgbClr val="01FF5B"/>
                </a:solidFill>
                <a:ln w="9525">
                  <a:solidFill>
                    <a:schemeClr val="accent1"/>
                  </a:solidFill>
                </a:ln>
                <a:effectLst/>
              </c:spPr>
            </c:marker>
            <c:bubble3D val="0"/>
            <c:extLst>
              <c:ext xmlns:c16="http://schemas.microsoft.com/office/drawing/2014/chart" uri="{C3380CC4-5D6E-409C-BE32-E72D297353CC}">
                <c16:uniqueId val="{00000015-D321-4EEB-9568-F986D3A2262E}"/>
              </c:ext>
            </c:extLst>
          </c:dPt>
          <c:dPt>
            <c:idx val="21"/>
            <c:marker>
              <c:spPr>
                <a:solidFill>
                  <a:srgbClr val="01FF67"/>
                </a:solidFill>
                <a:ln w="9525">
                  <a:solidFill>
                    <a:schemeClr val="accent1"/>
                  </a:solidFill>
                </a:ln>
                <a:effectLst/>
              </c:spPr>
            </c:marker>
            <c:bubble3D val="0"/>
            <c:extLst>
              <c:ext xmlns:c16="http://schemas.microsoft.com/office/drawing/2014/chart" uri="{C3380CC4-5D6E-409C-BE32-E72D297353CC}">
                <c16:uniqueId val="{00000016-D321-4EEB-9568-F986D3A2262E}"/>
              </c:ext>
            </c:extLst>
          </c:dPt>
          <c:dPt>
            <c:idx val="22"/>
            <c:marker>
              <c:spPr>
                <a:solidFill>
                  <a:srgbClr val="01FF79"/>
                </a:solidFill>
                <a:ln w="9525">
                  <a:solidFill>
                    <a:schemeClr val="accent1"/>
                  </a:solidFill>
                </a:ln>
                <a:effectLst/>
              </c:spPr>
            </c:marker>
            <c:bubble3D val="0"/>
            <c:extLst>
              <c:ext xmlns:c16="http://schemas.microsoft.com/office/drawing/2014/chart" uri="{C3380CC4-5D6E-409C-BE32-E72D297353CC}">
                <c16:uniqueId val="{00000017-D321-4EEB-9568-F986D3A2262E}"/>
              </c:ext>
            </c:extLst>
          </c:dPt>
          <c:dPt>
            <c:idx val="23"/>
            <c:marker>
              <c:spPr>
                <a:solidFill>
                  <a:srgbClr val="01FF84"/>
                </a:solidFill>
                <a:ln w="9525">
                  <a:solidFill>
                    <a:schemeClr val="accent1"/>
                  </a:solidFill>
                </a:ln>
                <a:effectLst/>
              </c:spPr>
            </c:marker>
            <c:bubble3D val="0"/>
            <c:extLst>
              <c:ext xmlns:c16="http://schemas.microsoft.com/office/drawing/2014/chart" uri="{C3380CC4-5D6E-409C-BE32-E72D297353CC}">
                <c16:uniqueId val="{00000018-D321-4EEB-9568-F986D3A2262E}"/>
              </c:ext>
            </c:extLst>
          </c:dPt>
          <c:dPt>
            <c:idx val="24"/>
            <c:marker>
              <c:spPr>
                <a:solidFill>
                  <a:srgbClr val="01FF96"/>
                </a:solidFill>
                <a:ln w="9525">
                  <a:solidFill>
                    <a:schemeClr val="accent1"/>
                  </a:solidFill>
                </a:ln>
                <a:effectLst/>
              </c:spPr>
            </c:marker>
            <c:bubble3D val="0"/>
            <c:extLst>
              <c:ext xmlns:c16="http://schemas.microsoft.com/office/drawing/2014/chart" uri="{C3380CC4-5D6E-409C-BE32-E72D297353CC}">
                <c16:uniqueId val="{00000019-D321-4EEB-9568-F986D3A2262E}"/>
              </c:ext>
            </c:extLst>
          </c:dPt>
          <c:dPt>
            <c:idx val="25"/>
            <c:marker>
              <c:spPr>
                <a:solidFill>
                  <a:srgbClr val="01FFA2"/>
                </a:solidFill>
                <a:ln w="9525">
                  <a:solidFill>
                    <a:schemeClr val="accent1"/>
                  </a:solidFill>
                </a:ln>
                <a:effectLst/>
              </c:spPr>
            </c:marker>
            <c:bubble3D val="0"/>
            <c:extLst>
              <c:ext xmlns:c16="http://schemas.microsoft.com/office/drawing/2014/chart" uri="{C3380CC4-5D6E-409C-BE32-E72D297353CC}">
                <c16:uniqueId val="{0000001A-D321-4EEB-9568-F986D3A2262E}"/>
              </c:ext>
            </c:extLst>
          </c:dPt>
          <c:dPt>
            <c:idx val="26"/>
            <c:marker>
              <c:spPr>
                <a:solidFill>
                  <a:srgbClr val="01FFB4"/>
                </a:solidFill>
                <a:ln w="9525">
                  <a:solidFill>
                    <a:schemeClr val="accent1"/>
                  </a:solidFill>
                </a:ln>
                <a:effectLst/>
              </c:spPr>
            </c:marker>
            <c:bubble3D val="0"/>
            <c:extLst>
              <c:ext xmlns:c16="http://schemas.microsoft.com/office/drawing/2014/chart" uri="{C3380CC4-5D6E-409C-BE32-E72D297353CC}">
                <c16:uniqueId val="{0000001B-D321-4EEB-9568-F986D3A2262E}"/>
              </c:ext>
            </c:extLst>
          </c:dPt>
          <c:dPt>
            <c:idx val="27"/>
            <c:marker>
              <c:spPr>
                <a:solidFill>
                  <a:srgbClr val="01FFC0"/>
                </a:solidFill>
                <a:ln w="9525">
                  <a:solidFill>
                    <a:schemeClr val="accent1"/>
                  </a:solidFill>
                </a:ln>
                <a:effectLst/>
              </c:spPr>
            </c:marker>
            <c:bubble3D val="0"/>
            <c:extLst>
              <c:ext xmlns:c16="http://schemas.microsoft.com/office/drawing/2014/chart" uri="{C3380CC4-5D6E-409C-BE32-E72D297353CC}">
                <c16:uniqueId val="{0000001C-D321-4EEB-9568-F986D3A2262E}"/>
              </c:ext>
            </c:extLst>
          </c:dPt>
          <c:dPt>
            <c:idx val="28"/>
            <c:marker>
              <c:spPr>
                <a:solidFill>
                  <a:srgbClr val="01FFD2"/>
                </a:solidFill>
                <a:ln w="9525">
                  <a:solidFill>
                    <a:schemeClr val="accent1"/>
                  </a:solidFill>
                </a:ln>
                <a:effectLst/>
              </c:spPr>
            </c:marker>
            <c:bubble3D val="0"/>
            <c:extLst>
              <c:ext xmlns:c16="http://schemas.microsoft.com/office/drawing/2014/chart" uri="{C3380CC4-5D6E-409C-BE32-E72D297353CC}">
                <c16:uniqueId val="{0000001D-D321-4EEB-9568-F986D3A2262E}"/>
              </c:ext>
            </c:extLst>
          </c:dPt>
          <c:dPt>
            <c:idx val="29"/>
            <c:marker>
              <c:spPr>
                <a:solidFill>
                  <a:srgbClr val="01FFDE"/>
                </a:solidFill>
                <a:ln w="9525">
                  <a:solidFill>
                    <a:schemeClr val="accent1"/>
                  </a:solidFill>
                </a:ln>
                <a:effectLst/>
              </c:spPr>
            </c:marker>
            <c:bubble3D val="0"/>
            <c:extLst>
              <c:ext xmlns:c16="http://schemas.microsoft.com/office/drawing/2014/chart" uri="{C3380CC4-5D6E-409C-BE32-E72D297353CC}">
                <c16:uniqueId val="{0000001E-D321-4EEB-9568-F986D3A2262E}"/>
              </c:ext>
            </c:extLst>
          </c:dPt>
          <c:dPt>
            <c:idx val="30"/>
            <c:marker>
              <c:spPr>
                <a:solidFill>
                  <a:srgbClr val="01FFF0"/>
                </a:solidFill>
                <a:ln w="9525">
                  <a:solidFill>
                    <a:schemeClr val="accent1"/>
                  </a:solidFill>
                </a:ln>
                <a:effectLst/>
              </c:spPr>
            </c:marker>
            <c:bubble3D val="0"/>
            <c:extLst>
              <c:ext xmlns:c16="http://schemas.microsoft.com/office/drawing/2014/chart" uri="{C3380CC4-5D6E-409C-BE32-E72D297353CC}">
                <c16:uniqueId val="{0000001F-D321-4EEB-9568-F986D3A2262E}"/>
              </c:ext>
            </c:extLst>
          </c:dPt>
          <c:dPt>
            <c:idx val="31"/>
            <c:marker>
              <c:spPr>
                <a:solidFill>
                  <a:srgbClr val="01FFFC"/>
                </a:solidFill>
                <a:ln w="9525">
                  <a:solidFill>
                    <a:schemeClr val="accent1"/>
                  </a:solidFill>
                </a:ln>
                <a:effectLst/>
              </c:spPr>
            </c:marker>
            <c:bubble3D val="0"/>
            <c:extLst>
              <c:ext xmlns:c16="http://schemas.microsoft.com/office/drawing/2014/chart" uri="{C3380CC4-5D6E-409C-BE32-E72D297353CC}">
                <c16:uniqueId val="{00000020-D321-4EEB-9568-F986D3A2262E}"/>
              </c:ext>
            </c:extLst>
          </c:dPt>
          <c:dPt>
            <c:idx val="32"/>
            <c:marker>
              <c:spPr>
                <a:solidFill>
                  <a:srgbClr val="01F0FF"/>
                </a:solidFill>
                <a:ln w="9525">
                  <a:solidFill>
                    <a:schemeClr val="accent1"/>
                  </a:solidFill>
                </a:ln>
                <a:effectLst/>
              </c:spPr>
            </c:marker>
            <c:bubble3D val="0"/>
            <c:extLst>
              <c:ext xmlns:c16="http://schemas.microsoft.com/office/drawing/2014/chart" uri="{C3380CC4-5D6E-409C-BE32-E72D297353CC}">
                <c16:uniqueId val="{00000021-D321-4EEB-9568-F986D3A2262E}"/>
              </c:ext>
            </c:extLst>
          </c:dPt>
          <c:dPt>
            <c:idx val="33"/>
            <c:marker>
              <c:spPr>
                <a:solidFill>
                  <a:srgbClr val="01E4FF"/>
                </a:solidFill>
                <a:ln w="9525">
                  <a:solidFill>
                    <a:schemeClr val="accent1"/>
                  </a:solidFill>
                </a:ln>
                <a:effectLst/>
              </c:spPr>
            </c:marker>
            <c:bubble3D val="0"/>
            <c:extLst>
              <c:ext xmlns:c16="http://schemas.microsoft.com/office/drawing/2014/chart" uri="{C3380CC4-5D6E-409C-BE32-E72D297353CC}">
                <c16:uniqueId val="{00000022-D321-4EEB-9568-F986D3A2262E}"/>
              </c:ext>
            </c:extLst>
          </c:dPt>
          <c:dPt>
            <c:idx val="34"/>
            <c:marker>
              <c:spPr>
                <a:solidFill>
                  <a:srgbClr val="01D2FF"/>
                </a:solidFill>
                <a:ln w="9525">
                  <a:solidFill>
                    <a:schemeClr val="accent1"/>
                  </a:solidFill>
                </a:ln>
                <a:effectLst/>
              </c:spPr>
            </c:marker>
            <c:bubble3D val="0"/>
            <c:extLst>
              <c:ext xmlns:c16="http://schemas.microsoft.com/office/drawing/2014/chart" uri="{C3380CC4-5D6E-409C-BE32-E72D297353CC}">
                <c16:uniqueId val="{00000023-D321-4EEB-9568-F986D3A2262E}"/>
              </c:ext>
            </c:extLst>
          </c:dPt>
          <c:dPt>
            <c:idx val="35"/>
            <c:marker>
              <c:spPr>
                <a:solidFill>
                  <a:srgbClr val="01C6FF"/>
                </a:solidFill>
                <a:ln w="9525">
                  <a:solidFill>
                    <a:schemeClr val="accent1"/>
                  </a:solidFill>
                </a:ln>
                <a:effectLst/>
              </c:spPr>
            </c:marker>
            <c:bubble3D val="0"/>
            <c:extLst>
              <c:ext xmlns:c16="http://schemas.microsoft.com/office/drawing/2014/chart" uri="{C3380CC4-5D6E-409C-BE32-E72D297353CC}">
                <c16:uniqueId val="{00000024-D321-4EEB-9568-F986D3A2262E}"/>
              </c:ext>
            </c:extLst>
          </c:dPt>
          <c:dPt>
            <c:idx val="36"/>
            <c:marker>
              <c:spPr>
                <a:solidFill>
                  <a:srgbClr val="01B4FF"/>
                </a:solidFill>
                <a:ln w="9525">
                  <a:solidFill>
                    <a:schemeClr val="accent1"/>
                  </a:solidFill>
                </a:ln>
                <a:effectLst/>
              </c:spPr>
            </c:marker>
            <c:bubble3D val="0"/>
            <c:extLst>
              <c:ext xmlns:c16="http://schemas.microsoft.com/office/drawing/2014/chart" uri="{C3380CC4-5D6E-409C-BE32-E72D297353CC}">
                <c16:uniqueId val="{00000025-D321-4EEB-9568-F986D3A2262E}"/>
              </c:ext>
            </c:extLst>
          </c:dPt>
          <c:dPt>
            <c:idx val="37"/>
            <c:marker>
              <c:spPr>
                <a:solidFill>
                  <a:srgbClr val="01A8FF"/>
                </a:solidFill>
                <a:ln w="9525">
                  <a:solidFill>
                    <a:schemeClr val="accent1"/>
                  </a:solidFill>
                </a:ln>
                <a:effectLst/>
              </c:spPr>
            </c:marker>
            <c:bubble3D val="0"/>
            <c:extLst>
              <c:ext xmlns:c16="http://schemas.microsoft.com/office/drawing/2014/chart" uri="{C3380CC4-5D6E-409C-BE32-E72D297353CC}">
                <c16:uniqueId val="{00000026-D321-4EEB-9568-F986D3A2262E}"/>
              </c:ext>
            </c:extLst>
          </c:dPt>
          <c:dPt>
            <c:idx val="38"/>
            <c:marker>
              <c:spPr>
                <a:solidFill>
                  <a:srgbClr val="0196FF"/>
                </a:solidFill>
                <a:ln w="9525">
                  <a:solidFill>
                    <a:schemeClr val="accent1"/>
                  </a:solidFill>
                </a:ln>
                <a:effectLst/>
              </c:spPr>
            </c:marker>
            <c:bubble3D val="0"/>
            <c:extLst>
              <c:ext xmlns:c16="http://schemas.microsoft.com/office/drawing/2014/chart" uri="{C3380CC4-5D6E-409C-BE32-E72D297353CC}">
                <c16:uniqueId val="{00000027-D321-4EEB-9568-F986D3A2262E}"/>
              </c:ext>
            </c:extLst>
          </c:dPt>
          <c:dPt>
            <c:idx val="39"/>
            <c:marker>
              <c:spPr>
                <a:solidFill>
                  <a:srgbClr val="018AFF"/>
                </a:solidFill>
                <a:ln w="9525">
                  <a:solidFill>
                    <a:schemeClr val="accent1"/>
                  </a:solidFill>
                </a:ln>
                <a:effectLst/>
              </c:spPr>
            </c:marker>
            <c:bubble3D val="0"/>
            <c:extLst>
              <c:ext xmlns:c16="http://schemas.microsoft.com/office/drawing/2014/chart" uri="{C3380CC4-5D6E-409C-BE32-E72D297353CC}">
                <c16:uniqueId val="{00000028-D321-4EEB-9568-F986D3A2262E}"/>
              </c:ext>
            </c:extLst>
          </c:dPt>
          <c:dPt>
            <c:idx val="40"/>
            <c:marker>
              <c:spPr>
                <a:solidFill>
                  <a:srgbClr val="0179FF"/>
                </a:solidFill>
                <a:ln w="9525">
                  <a:solidFill>
                    <a:schemeClr val="accent1"/>
                  </a:solidFill>
                </a:ln>
                <a:effectLst/>
              </c:spPr>
            </c:marker>
            <c:bubble3D val="0"/>
            <c:extLst>
              <c:ext xmlns:c16="http://schemas.microsoft.com/office/drawing/2014/chart" uri="{C3380CC4-5D6E-409C-BE32-E72D297353CC}">
                <c16:uniqueId val="{00000029-D321-4EEB-9568-F986D3A2262E}"/>
              </c:ext>
            </c:extLst>
          </c:dPt>
          <c:dPt>
            <c:idx val="41"/>
            <c:marker>
              <c:spPr>
                <a:solidFill>
                  <a:srgbClr val="016DFF"/>
                </a:solidFill>
                <a:ln w="9525">
                  <a:solidFill>
                    <a:schemeClr val="accent1"/>
                  </a:solidFill>
                </a:ln>
                <a:effectLst/>
              </c:spPr>
            </c:marker>
            <c:bubble3D val="0"/>
            <c:extLst>
              <c:ext xmlns:c16="http://schemas.microsoft.com/office/drawing/2014/chart" uri="{C3380CC4-5D6E-409C-BE32-E72D297353CC}">
                <c16:uniqueId val="{0000002A-D321-4EEB-9568-F986D3A2262E}"/>
              </c:ext>
            </c:extLst>
          </c:dPt>
          <c:dPt>
            <c:idx val="42"/>
            <c:marker>
              <c:spPr>
                <a:solidFill>
                  <a:srgbClr val="015BFF"/>
                </a:solidFill>
                <a:ln w="9525">
                  <a:solidFill>
                    <a:schemeClr val="accent1"/>
                  </a:solidFill>
                </a:ln>
                <a:effectLst/>
              </c:spPr>
            </c:marker>
            <c:bubble3D val="0"/>
            <c:extLst>
              <c:ext xmlns:c16="http://schemas.microsoft.com/office/drawing/2014/chart" uri="{C3380CC4-5D6E-409C-BE32-E72D297353CC}">
                <c16:uniqueId val="{0000002B-D321-4EEB-9568-F986D3A2262E}"/>
              </c:ext>
            </c:extLst>
          </c:dPt>
          <c:dPt>
            <c:idx val="43"/>
            <c:marker>
              <c:spPr>
                <a:solidFill>
                  <a:srgbClr val="014FFF"/>
                </a:solidFill>
                <a:ln w="9525">
                  <a:solidFill>
                    <a:schemeClr val="accent1"/>
                  </a:solidFill>
                </a:ln>
                <a:effectLst/>
              </c:spPr>
            </c:marker>
            <c:bubble3D val="0"/>
            <c:extLst>
              <c:ext xmlns:c16="http://schemas.microsoft.com/office/drawing/2014/chart" uri="{C3380CC4-5D6E-409C-BE32-E72D297353CC}">
                <c16:uniqueId val="{0000002C-D321-4EEB-9568-F986D3A2262E}"/>
              </c:ext>
            </c:extLst>
          </c:dPt>
          <c:dPt>
            <c:idx val="44"/>
            <c:marker>
              <c:spPr>
                <a:solidFill>
                  <a:srgbClr val="013DFF"/>
                </a:solidFill>
                <a:ln w="9525">
                  <a:solidFill>
                    <a:schemeClr val="accent1"/>
                  </a:solidFill>
                </a:ln>
                <a:effectLst/>
              </c:spPr>
            </c:marker>
            <c:bubble3D val="0"/>
            <c:extLst>
              <c:ext xmlns:c16="http://schemas.microsoft.com/office/drawing/2014/chart" uri="{C3380CC4-5D6E-409C-BE32-E72D297353CC}">
                <c16:uniqueId val="{0000002D-D321-4EEB-9568-F986D3A2262E}"/>
              </c:ext>
            </c:extLst>
          </c:dPt>
          <c:dPt>
            <c:idx val="45"/>
            <c:marker>
              <c:spPr>
                <a:solidFill>
                  <a:srgbClr val="0131FF"/>
                </a:solidFill>
                <a:ln w="9525">
                  <a:solidFill>
                    <a:schemeClr val="accent1"/>
                  </a:solidFill>
                </a:ln>
                <a:effectLst/>
              </c:spPr>
            </c:marker>
            <c:bubble3D val="0"/>
            <c:extLst>
              <c:ext xmlns:c16="http://schemas.microsoft.com/office/drawing/2014/chart" uri="{C3380CC4-5D6E-409C-BE32-E72D297353CC}">
                <c16:uniqueId val="{0000002E-D321-4EEB-9568-F986D3A2262E}"/>
              </c:ext>
            </c:extLst>
          </c:dPt>
          <c:dPt>
            <c:idx val="46"/>
            <c:marker>
              <c:spPr>
                <a:solidFill>
                  <a:srgbClr val="011FFF"/>
                </a:solidFill>
                <a:ln w="9525">
                  <a:solidFill>
                    <a:schemeClr val="accent1"/>
                  </a:solidFill>
                </a:ln>
                <a:effectLst/>
              </c:spPr>
            </c:marker>
            <c:bubble3D val="0"/>
            <c:extLst>
              <c:ext xmlns:c16="http://schemas.microsoft.com/office/drawing/2014/chart" uri="{C3380CC4-5D6E-409C-BE32-E72D297353CC}">
                <c16:uniqueId val="{0000002F-D321-4EEB-9568-F986D3A2262E}"/>
              </c:ext>
            </c:extLst>
          </c:dPt>
          <c:dPt>
            <c:idx val="47"/>
            <c:marker>
              <c:spPr>
                <a:solidFill>
                  <a:srgbClr val="0113FF"/>
                </a:solidFill>
                <a:ln w="9525">
                  <a:solidFill>
                    <a:schemeClr val="accent1"/>
                  </a:solidFill>
                </a:ln>
                <a:effectLst/>
              </c:spPr>
            </c:marker>
            <c:bubble3D val="0"/>
            <c:extLst>
              <c:ext xmlns:c16="http://schemas.microsoft.com/office/drawing/2014/chart" uri="{C3380CC4-5D6E-409C-BE32-E72D297353CC}">
                <c16:uniqueId val="{00000030-D321-4EEB-9568-F986D3A2262E}"/>
              </c:ext>
            </c:extLst>
          </c:dPt>
          <c:dPt>
            <c:idx val="48"/>
            <c:marker>
              <c:spPr>
                <a:solidFill>
                  <a:srgbClr val="0101FF"/>
                </a:solidFill>
                <a:ln w="9525">
                  <a:solidFill>
                    <a:schemeClr val="accent1"/>
                  </a:solidFill>
                </a:ln>
                <a:effectLst/>
              </c:spPr>
            </c:marker>
            <c:bubble3D val="0"/>
            <c:extLst>
              <c:ext xmlns:c16="http://schemas.microsoft.com/office/drawing/2014/chart" uri="{C3380CC4-5D6E-409C-BE32-E72D297353CC}">
                <c16:uniqueId val="{00000031-D321-4EEB-9568-F986D3A2262E}"/>
              </c:ext>
            </c:extLst>
          </c:dPt>
          <c:dPt>
            <c:idx val="49"/>
            <c:marker>
              <c:spPr>
                <a:solidFill>
                  <a:srgbClr val="0D01FF"/>
                </a:solidFill>
                <a:ln w="9525">
                  <a:solidFill>
                    <a:schemeClr val="accent1"/>
                  </a:solidFill>
                </a:ln>
                <a:effectLst/>
              </c:spPr>
            </c:marker>
            <c:bubble3D val="0"/>
            <c:extLst>
              <c:ext xmlns:c16="http://schemas.microsoft.com/office/drawing/2014/chart" uri="{C3380CC4-5D6E-409C-BE32-E72D297353CC}">
                <c16:uniqueId val="{00000032-D321-4EEB-9568-F986D3A2262E}"/>
              </c:ext>
            </c:extLst>
          </c:dPt>
          <c:dPt>
            <c:idx val="50"/>
            <c:marker>
              <c:spPr>
                <a:solidFill>
                  <a:srgbClr val="1F01FF"/>
                </a:solidFill>
                <a:ln w="9525">
                  <a:solidFill>
                    <a:schemeClr val="accent1"/>
                  </a:solidFill>
                </a:ln>
                <a:effectLst/>
              </c:spPr>
            </c:marker>
            <c:bubble3D val="0"/>
            <c:extLst>
              <c:ext xmlns:c16="http://schemas.microsoft.com/office/drawing/2014/chart" uri="{C3380CC4-5D6E-409C-BE32-E72D297353CC}">
                <c16:uniqueId val="{00000033-D321-4EEB-9568-F986D3A2262E}"/>
              </c:ext>
            </c:extLst>
          </c:dPt>
          <c:dPt>
            <c:idx val="51"/>
            <c:marker>
              <c:spPr>
                <a:solidFill>
                  <a:srgbClr val="2B01FF"/>
                </a:solidFill>
                <a:ln w="9525">
                  <a:solidFill>
                    <a:schemeClr val="accent1"/>
                  </a:solidFill>
                </a:ln>
                <a:effectLst/>
              </c:spPr>
            </c:marker>
            <c:bubble3D val="0"/>
            <c:extLst>
              <c:ext xmlns:c16="http://schemas.microsoft.com/office/drawing/2014/chart" uri="{C3380CC4-5D6E-409C-BE32-E72D297353CC}">
                <c16:uniqueId val="{00000034-D321-4EEB-9568-F986D3A2262E}"/>
              </c:ext>
            </c:extLst>
          </c:dPt>
          <c:dPt>
            <c:idx val="52"/>
            <c:marker>
              <c:spPr>
                <a:solidFill>
                  <a:srgbClr val="3D01FF"/>
                </a:solidFill>
                <a:ln w="9525">
                  <a:solidFill>
                    <a:schemeClr val="accent1"/>
                  </a:solidFill>
                </a:ln>
                <a:effectLst/>
              </c:spPr>
            </c:marker>
            <c:bubble3D val="0"/>
            <c:extLst>
              <c:ext xmlns:c16="http://schemas.microsoft.com/office/drawing/2014/chart" uri="{C3380CC4-5D6E-409C-BE32-E72D297353CC}">
                <c16:uniqueId val="{00000035-D321-4EEB-9568-F986D3A2262E}"/>
              </c:ext>
            </c:extLst>
          </c:dPt>
          <c:dPt>
            <c:idx val="53"/>
            <c:marker>
              <c:spPr>
                <a:solidFill>
                  <a:srgbClr val="4901FF"/>
                </a:solidFill>
                <a:ln w="9525">
                  <a:solidFill>
                    <a:schemeClr val="accent1"/>
                  </a:solidFill>
                </a:ln>
                <a:effectLst/>
              </c:spPr>
            </c:marker>
            <c:bubble3D val="0"/>
            <c:extLst>
              <c:ext xmlns:c16="http://schemas.microsoft.com/office/drawing/2014/chart" uri="{C3380CC4-5D6E-409C-BE32-E72D297353CC}">
                <c16:uniqueId val="{00000036-D321-4EEB-9568-F986D3A2262E}"/>
              </c:ext>
            </c:extLst>
          </c:dPt>
          <c:dPt>
            <c:idx val="54"/>
            <c:marker>
              <c:spPr>
                <a:solidFill>
                  <a:srgbClr val="5B01FF"/>
                </a:solidFill>
                <a:ln w="9525">
                  <a:solidFill>
                    <a:schemeClr val="accent1"/>
                  </a:solidFill>
                </a:ln>
                <a:effectLst/>
              </c:spPr>
            </c:marker>
            <c:bubble3D val="0"/>
            <c:extLst>
              <c:ext xmlns:c16="http://schemas.microsoft.com/office/drawing/2014/chart" uri="{C3380CC4-5D6E-409C-BE32-E72D297353CC}">
                <c16:uniqueId val="{00000037-D321-4EEB-9568-F986D3A2262E}"/>
              </c:ext>
            </c:extLst>
          </c:dPt>
          <c:dPt>
            <c:idx val="55"/>
            <c:marker>
              <c:spPr>
                <a:solidFill>
                  <a:srgbClr val="6701FF"/>
                </a:solidFill>
                <a:ln w="9525">
                  <a:solidFill>
                    <a:schemeClr val="accent1"/>
                  </a:solidFill>
                </a:ln>
                <a:effectLst/>
              </c:spPr>
            </c:marker>
            <c:bubble3D val="0"/>
            <c:extLst>
              <c:ext xmlns:c16="http://schemas.microsoft.com/office/drawing/2014/chart" uri="{C3380CC4-5D6E-409C-BE32-E72D297353CC}">
                <c16:uniqueId val="{00000038-D321-4EEB-9568-F986D3A2262E}"/>
              </c:ext>
            </c:extLst>
          </c:dPt>
          <c:dPt>
            <c:idx val="56"/>
            <c:marker>
              <c:spPr>
                <a:solidFill>
                  <a:srgbClr val="7901FF"/>
                </a:solidFill>
                <a:ln w="9525">
                  <a:solidFill>
                    <a:schemeClr val="accent1"/>
                  </a:solidFill>
                </a:ln>
                <a:effectLst/>
              </c:spPr>
            </c:marker>
            <c:bubble3D val="0"/>
            <c:extLst>
              <c:ext xmlns:c16="http://schemas.microsoft.com/office/drawing/2014/chart" uri="{C3380CC4-5D6E-409C-BE32-E72D297353CC}">
                <c16:uniqueId val="{00000039-D321-4EEB-9568-F986D3A2262E}"/>
              </c:ext>
            </c:extLst>
          </c:dPt>
          <c:dPt>
            <c:idx val="57"/>
            <c:marker>
              <c:spPr>
                <a:solidFill>
                  <a:srgbClr val="8401FF"/>
                </a:solidFill>
                <a:ln w="9525">
                  <a:solidFill>
                    <a:schemeClr val="accent1"/>
                  </a:solidFill>
                </a:ln>
                <a:effectLst/>
              </c:spPr>
            </c:marker>
            <c:bubble3D val="0"/>
            <c:extLst>
              <c:ext xmlns:c16="http://schemas.microsoft.com/office/drawing/2014/chart" uri="{C3380CC4-5D6E-409C-BE32-E72D297353CC}">
                <c16:uniqueId val="{0000003A-D321-4EEB-9568-F986D3A2262E}"/>
              </c:ext>
            </c:extLst>
          </c:dPt>
          <c:dPt>
            <c:idx val="58"/>
            <c:marker>
              <c:spPr>
                <a:solidFill>
                  <a:srgbClr val="9601FF"/>
                </a:solidFill>
                <a:ln w="9525">
                  <a:solidFill>
                    <a:schemeClr val="accent1"/>
                  </a:solidFill>
                </a:ln>
                <a:effectLst/>
              </c:spPr>
            </c:marker>
            <c:bubble3D val="0"/>
            <c:extLst>
              <c:ext xmlns:c16="http://schemas.microsoft.com/office/drawing/2014/chart" uri="{C3380CC4-5D6E-409C-BE32-E72D297353CC}">
                <c16:uniqueId val="{0000003B-D321-4EEB-9568-F986D3A2262E}"/>
              </c:ext>
            </c:extLst>
          </c:dPt>
          <c:xVal>
            <c:numRef>
              <c:f>Arch!$G$2:$G$60</c:f>
              <c:numCache>
                <c:formatCode>General</c:formatCode>
                <c:ptCount val="59"/>
                <c:pt idx="0">
                  <c:v>24.622679963595701</c:v>
                </c:pt>
                <c:pt idx="1">
                  <c:v>24.520280818927532</c:v>
                </c:pt>
                <c:pt idx="2">
                  <c:v>24.755659040425844</c:v>
                </c:pt>
                <c:pt idx="3">
                  <c:v>24.115061543554543</c:v>
                </c:pt>
                <c:pt idx="4">
                  <c:v>23.338956005922093</c:v>
                </c:pt>
                <c:pt idx="5">
                  <c:v>22.292674648434559</c:v>
                </c:pt>
                <c:pt idx="6">
                  <c:v>22.169197546790961</c:v>
                </c:pt>
                <c:pt idx="7">
                  <c:v>22.104014582358687</c:v>
                </c:pt>
                <c:pt idx="8">
                  <c:v>21.632988764152898</c:v>
                </c:pt>
                <c:pt idx="9">
                  <c:v>21.43700293748104</c:v>
                </c:pt>
                <c:pt idx="10">
                  <c:v>21.221893044479934</c:v>
                </c:pt>
                <c:pt idx="11">
                  <c:v>20.83054981877909</c:v>
                </c:pt>
                <c:pt idx="12">
                  <c:v>20.689520855524147</c:v>
                </c:pt>
                <c:pt idx="13">
                  <c:v>21.132386503529549</c:v>
                </c:pt>
                <c:pt idx="14">
                  <c:v>21.308851743899311</c:v>
                </c:pt>
                <c:pt idx="15">
                  <c:v>21.508299024556045</c:v>
                </c:pt>
                <c:pt idx="16">
                  <c:v>21.426874066466205</c:v>
                </c:pt>
                <c:pt idx="17">
                  <c:v>21.366639952184471</c:v>
                </c:pt>
                <c:pt idx="18">
                  <c:v>21.707423228288707</c:v>
                </c:pt>
                <c:pt idx="19">
                  <c:v>22.261109588114827</c:v>
                </c:pt>
                <c:pt idx="20">
                  <c:v>22.260416245328017</c:v>
                </c:pt>
                <c:pt idx="21">
                  <c:v>22.338233746134485</c:v>
                </c:pt>
                <c:pt idx="22">
                  <c:v>22.560068464047028</c:v>
                </c:pt>
                <c:pt idx="23">
                  <c:v>22.877085546911371</c:v>
                </c:pt>
                <c:pt idx="24">
                  <c:v>23.234343879444893</c:v>
                </c:pt>
                <c:pt idx="25">
                  <c:v>23.770561698596829</c:v>
                </c:pt>
                <c:pt idx="26">
                  <c:v>23.827803757812049</c:v>
                </c:pt>
                <c:pt idx="27">
                  <c:v>23.586723306680597</c:v>
                </c:pt>
                <c:pt idx="28">
                  <c:v>23.733148483215786</c:v>
                </c:pt>
                <c:pt idx="29">
                  <c:v>23.979730086782489</c:v>
                </c:pt>
                <c:pt idx="30">
                  <c:v>24.324438684983111</c:v>
                </c:pt>
                <c:pt idx="31">
                  <c:v>24.485675123240469</c:v>
                </c:pt>
                <c:pt idx="32">
                  <c:v>24.470009363861553</c:v>
                </c:pt>
                <c:pt idx="33">
                  <c:v>24.459896726036284</c:v>
                </c:pt>
                <c:pt idx="34">
                  <c:v>24.455093359098058</c:v>
                </c:pt>
                <c:pt idx="35">
                  <c:v>24.431491683755802</c:v>
                </c:pt>
                <c:pt idx="36">
                  <c:v>24.527976327045906</c:v>
                </c:pt>
                <c:pt idx="37">
                  <c:v>24.537021062231823</c:v>
                </c:pt>
                <c:pt idx="38">
                  <c:v>24.137546054258323</c:v>
                </c:pt>
                <c:pt idx="39">
                  <c:v>23.7592091449776</c:v>
                </c:pt>
                <c:pt idx="40">
                  <c:v>23.330603877551383</c:v>
                </c:pt>
                <c:pt idx="41">
                  <c:v>22.88185309911043</c:v>
                </c:pt>
                <c:pt idx="42">
                  <c:v>22.513493207502627</c:v>
                </c:pt>
                <c:pt idx="43">
                  <c:v>22.156281667465542</c:v>
                </c:pt>
                <c:pt idx="44">
                  <c:v>21.9669995231333</c:v>
                </c:pt>
                <c:pt idx="45">
                  <c:v>22.012416112600445</c:v>
                </c:pt>
                <c:pt idx="46">
                  <c:v>21.443783146281937</c:v>
                </c:pt>
                <c:pt idx="47">
                  <c:v>21.032719461005691</c:v>
                </c:pt>
                <c:pt idx="48">
                  <c:v>20.953242519246814</c:v>
                </c:pt>
                <c:pt idx="49">
                  <c:v>20.87152035477866</c:v>
                </c:pt>
                <c:pt idx="50">
                  <c:v>20.717899333551085</c:v>
                </c:pt>
                <c:pt idx="51">
                  <c:v>21.247753409758843</c:v>
                </c:pt>
                <c:pt idx="52">
                  <c:v>21.227797044109252</c:v>
                </c:pt>
                <c:pt idx="53">
                  <c:v>21.306296675203484</c:v>
                </c:pt>
                <c:pt idx="54">
                  <c:v>21.365552349383794</c:v>
                </c:pt>
                <c:pt idx="55">
                  <c:v>21.489923790194066</c:v>
                </c:pt>
                <c:pt idx="56">
                  <c:v>21.365248985762349</c:v>
                </c:pt>
                <c:pt idx="57">
                  <c:v>21.371526454211839</c:v>
                </c:pt>
                <c:pt idx="58">
                  <c:v>21.353885388571918</c:v>
                </c:pt>
              </c:numCache>
            </c:numRef>
          </c:xVal>
          <c:yVal>
            <c:numRef>
              <c:f>Arch!$I$2:$I$60</c:f>
              <c:numCache>
                <c:formatCode>General</c:formatCode>
                <c:ptCount val="59"/>
                <c:pt idx="0">
                  <c:v>10.185391954155202</c:v>
                </c:pt>
                <c:pt idx="1">
                  <c:v>11.955278045502313</c:v>
                </c:pt>
                <c:pt idx="2">
                  <c:v>13.717102357227432</c:v>
                </c:pt>
                <c:pt idx="3">
                  <c:v>15.30656950633667</c:v>
                </c:pt>
                <c:pt idx="4">
                  <c:v>16.994504836384529</c:v>
                </c:pt>
                <c:pt idx="5">
                  <c:v>17.883265076945321</c:v>
                </c:pt>
                <c:pt idx="6">
                  <c:v>16.945582828708918</c:v>
                </c:pt>
                <c:pt idx="7">
                  <c:v>18.317267919750801</c:v>
                </c:pt>
                <c:pt idx="8">
                  <c:v>20.098898414394167</c:v>
                </c:pt>
                <c:pt idx="9">
                  <c:v>21.777309685461937</c:v>
                </c:pt>
                <c:pt idx="10">
                  <c:v>23.540770726735566</c:v>
                </c:pt>
                <c:pt idx="11">
                  <c:v>25.345658153082617</c:v>
                </c:pt>
                <c:pt idx="12">
                  <c:v>26.594542276977069</c:v>
                </c:pt>
                <c:pt idx="13">
                  <c:v>26.212947444118498</c:v>
                </c:pt>
                <c:pt idx="14">
                  <c:v>27.877469652013211</c:v>
                </c:pt>
                <c:pt idx="15">
                  <c:v>29.655414348039926</c:v>
                </c:pt>
                <c:pt idx="16">
                  <c:v>31.40691872498909</c:v>
                </c:pt>
                <c:pt idx="17">
                  <c:v>33.293133085104131</c:v>
                </c:pt>
                <c:pt idx="18">
                  <c:v>34.945149912500526</c:v>
                </c:pt>
                <c:pt idx="19">
                  <c:v>35.335891490944988</c:v>
                </c:pt>
                <c:pt idx="20">
                  <c:v>36.001521757842241</c:v>
                </c:pt>
                <c:pt idx="21">
                  <c:v>37.776249494987681</c:v>
                </c:pt>
                <c:pt idx="22">
                  <c:v>39.579742129083563</c:v>
                </c:pt>
                <c:pt idx="23">
                  <c:v>41.327305371845071</c:v>
                </c:pt>
                <c:pt idx="24">
                  <c:v>42.981453570212892</c:v>
                </c:pt>
                <c:pt idx="25">
                  <c:v>43.699378721613265</c:v>
                </c:pt>
                <c:pt idx="26">
                  <c:v>42.811678266629933</c:v>
                </c:pt>
                <c:pt idx="27">
                  <c:v>44.236887106445799</c:v>
                </c:pt>
                <c:pt idx="28">
                  <c:v>45.547207398197607</c:v>
                </c:pt>
                <c:pt idx="29">
                  <c:v>46.928739026425646</c:v>
                </c:pt>
                <c:pt idx="30">
                  <c:v>48.130390786315715</c:v>
                </c:pt>
                <c:pt idx="31">
                  <c:v>47.083244064237419</c:v>
                </c:pt>
                <c:pt idx="32">
                  <c:v>45.213474680230775</c:v>
                </c:pt>
                <c:pt idx="33">
                  <c:v>43.340179713714008</c:v>
                </c:pt>
                <c:pt idx="34">
                  <c:v>41.476584468022338</c:v>
                </c:pt>
                <c:pt idx="35">
                  <c:v>39.695144030400044</c:v>
                </c:pt>
                <c:pt idx="36">
                  <c:v>37.768536845591314</c:v>
                </c:pt>
                <c:pt idx="37">
                  <c:v>36.283406207681949</c:v>
                </c:pt>
                <c:pt idx="38">
                  <c:v>37.277187766067136</c:v>
                </c:pt>
                <c:pt idx="39">
                  <c:v>37.139965704588256</c:v>
                </c:pt>
                <c:pt idx="40">
                  <c:v>35.419653496717828</c:v>
                </c:pt>
                <c:pt idx="41">
                  <c:v>33.622500949684664</c:v>
                </c:pt>
                <c:pt idx="42">
                  <c:v>31.771663124631313</c:v>
                </c:pt>
                <c:pt idx="43">
                  <c:v>29.95220375241863</c:v>
                </c:pt>
                <c:pt idx="44">
                  <c:v>29.644404231620452</c:v>
                </c:pt>
                <c:pt idx="45">
                  <c:v>30.057880177283472</c:v>
                </c:pt>
                <c:pt idx="46">
                  <c:v>28.45216706116004</c:v>
                </c:pt>
                <c:pt idx="47">
                  <c:v>26.593877705343473</c:v>
                </c:pt>
                <c:pt idx="48">
                  <c:v>24.723566146858246</c:v>
                </c:pt>
                <c:pt idx="49">
                  <c:v>22.886746202060998</c:v>
                </c:pt>
                <c:pt idx="50">
                  <c:v>21.306353252629712</c:v>
                </c:pt>
                <c:pt idx="51">
                  <c:v>21.451299616530196</c:v>
                </c:pt>
                <c:pt idx="52">
                  <c:v>20.181016219553182</c:v>
                </c:pt>
                <c:pt idx="53">
                  <c:v>18.286664782775802</c:v>
                </c:pt>
                <c:pt idx="54">
                  <c:v>16.493219574680214</c:v>
                </c:pt>
                <c:pt idx="55">
                  <c:v>14.77949539709789</c:v>
                </c:pt>
                <c:pt idx="56">
                  <c:v>13.702808877601662</c:v>
                </c:pt>
                <c:pt idx="57">
                  <c:v>11.981317988965676</c:v>
                </c:pt>
                <c:pt idx="58">
                  <c:v>10.245592776874039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29-593C-4E66-9DC7-5860591BD24B}"/>
            </c:ext>
          </c:extLst>
        </c:ser>
        <c:ser>
          <c:idx val="1"/>
          <c:order val="1"/>
          <c:tx>
            <c:v>Base</c:v>
          </c:tx>
          <c:spPr>
            <a:ln w="19050" cap="rnd">
              <a:solidFill>
                <a:schemeClr val="accent2"/>
              </a:solidFill>
              <a:round/>
            </a:ln>
            <a:effectLst/>
          </c:spPr>
          <c:marker>
            <c:symbol val="none"/>
          </c:marker>
          <c:dPt>
            <c:idx val="19"/>
            <c:bubble3D val="0"/>
            <c:extLst>
              <c:ext xmlns:c16="http://schemas.microsoft.com/office/drawing/2014/chart" uri="{C3380CC4-5D6E-409C-BE32-E72D297353CC}">
                <c16:uniqueId val="{0000002B-593C-4E66-9DC7-5860591BD24B}"/>
              </c:ext>
            </c:extLst>
          </c:dPt>
          <c:xVal>
            <c:numRef>
              <c:f>Base!$G$2:$G$21</c:f>
              <c:numCache>
                <c:formatCode>General</c:formatCode>
                <c:ptCount val="20"/>
                <c:pt idx="0">
                  <c:v>19.988536834716797</c:v>
                </c:pt>
                <c:pt idx="1">
                  <c:v>17.447378798191611</c:v>
                </c:pt>
                <c:pt idx="2">
                  <c:v>15.620215698107327</c:v>
                </c:pt>
                <c:pt idx="3">
                  <c:v>14.785112240309878</c:v>
                </c:pt>
                <c:pt idx="4">
                  <c:v>15.389990992717337</c:v>
                </c:pt>
                <c:pt idx="5">
                  <c:v>15.226098545388934</c:v>
                </c:pt>
                <c:pt idx="6">
                  <c:v>14.589895416464751</c:v>
                </c:pt>
                <c:pt idx="7">
                  <c:v>14.74495500503205</c:v>
                </c:pt>
                <c:pt idx="8">
                  <c:v>15.954898710465152</c:v>
                </c:pt>
                <c:pt idx="9">
                  <c:v>17.990780575023816</c:v>
                </c:pt>
                <c:pt idx="10">
                  <c:v>21.409704208374023</c:v>
                </c:pt>
                <c:pt idx="11">
                  <c:v>26.960432848167457</c:v>
                </c:pt>
                <c:pt idx="12">
                  <c:v>31.575491836744039</c:v>
                </c:pt>
                <c:pt idx="13">
                  <c:v>34.148806594067821</c:v>
                </c:pt>
                <c:pt idx="14">
                  <c:v>34.300026529564398</c:v>
                </c:pt>
                <c:pt idx="15">
                  <c:v>35.175398321336885</c:v>
                </c:pt>
                <c:pt idx="16">
                  <c:v>34.046503478516627</c:v>
                </c:pt>
                <c:pt idx="17">
                  <c:v>32.856148584398156</c:v>
                </c:pt>
                <c:pt idx="18">
                  <c:v>28.973149472029213</c:v>
                </c:pt>
                <c:pt idx="19">
                  <c:v>24.542546792087542</c:v>
                </c:pt>
              </c:numCache>
            </c:numRef>
          </c:xVal>
          <c:yVal>
            <c:numRef>
              <c:f>Base!$I$2:$I$21</c:f>
              <c:numCache>
                <c:formatCode>General</c:formatCode>
                <c:ptCount val="20"/>
                <c:pt idx="0">
                  <c:v>8.526209831237793</c:v>
                </c:pt>
                <c:pt idx="1">
                  <c:v>7.7378903974518671</c:v>
                </c:pt>
                <c:pt idx="2">
                  <c:v>8.6495438438248442</c:v>
                </c:pt>
                <c:pt idx="3">
                  <c:v>9.21030866933285</c:v>
                </c:pt>
                <c:pt idx="4">
                  <c:v>10.314599169737038</c:v>
                </c:pt>
                <c:pt idx="5">
                  <c:v>11.153500658026353</c:v>
                </c:pt>
                <c:pt idx="6">
                  <c:v>9.9378186291302875</c:v>
                </c:pt>
                <c:pt idx="7">
                  <c:v>9.1086367813538658</c:v>
                </c:pt>
                <c:pt idx="8">
                  <c:v>7.8809415270234533</c:v>
                </c:pt>
                <c:pt idx="9">
                  <c:v>7.2252750852123473</c:v>
                </c:pt>
                <c:pt idx="10">
                  <c:v>8.3503875732421875</c:v>
                </c:pt>
                <c:pt idx="11">
                  <c:v>9.2665027375444762</c:v>
                </c:pt>
                <c:pt idx="12">
                  <c:v>8.3223110361798014</c:v>
                </c:pt>
                <c:pt idx="13">
                  <c:v>5.6309749641018811</c:v>
                </c:pt>
                <c:pt idx="14">
                  <c:v>7.2146699669787111</c:v>
                </c:pt>
                <c:pt idx="15">
                  <c:v>8.7702641455289445</c:v>
                </c:pt>
                <c:pt idx="16">
                  <c:v>10.391627065539124</c:v>
                </c:pt>
                <c:pt idx="17">
                  <c:v>10.022898827638143</c:v>
                </c:pt>
                <c:pt idx="18">
                  <c:v>8.6846130035911049</c:v>
                </c:pt>
                <c:pt idx="19">
                  <c:v>8.3837897434089044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2C-593C-4E66-9DC7-5860591BD24B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392344304"/>
        <c:axId val="392341424"/>
      </c:scatterChart>
      <c:valAx>
        <c:axId val="392344304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392341424"/>
        <c:crosses val="autoZero"/>
        <c:crossBetween val="midCat"/>
      </c:valAx>
      <c:valAx>
        <c:axId val="39234142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392344304"/>
        <c:crosses val="autoZero"/>
        <c:crossBetween val="midCat"/>
      </c:valAx>
    </c:plotArea>
    <c:plotVisOnly val="1"/>
    <c:dispBlanksAs val="gap"/>
    <c:showDLblsOverMax val="0"/>
    <c:extLst/>
  </c:chart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7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scatterChart>
        <c:scatterStyle val="smoothMarker"/>
        <c:varyColors val="0"/>
        <c:ser>
          <c:idx val="0"/>
          <c:order val="0"/>
          <c:tx>
            <c:strRef>
              <c:f>Combined!$B$1</c:f>
              <c:strCache>
                <c:ptCount val="1"/>
                <c:pt idx="0">
                  <c:v>Y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10"/>
            <c:spPr>
              <a:solidFill>
                <a:schemeClr val="tx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dPt>
            <c:idx val="0"/>
            <c:marker>
              <c:symbol val="circle"/>
              <c:size val="10"/>
              <c:spPr>
                <a:solidFill>
                  <a:srgbClr val="FF0101"/>
                </a:solidFill>
                <a:ln w="9525">
                  <a:solidFill>
                    <a:schemeClr val="accent1"/>
                  </a:solidFill>
                </a:ln>
                <a:effectLst/>
              </c:spPr>
            </c:marker>
            <c:bubble3D val="0"/>
            <c:extLst>
              <c:ext xmlns:c16="http://schemas.microsoft.com/office/drawing/2014/chart" uri="{C3380CC4-5D6E-409C-BE32-E72D297353CC}">
                <c16:uniqueId val="{00000000-07A9-4FBE-AC9B-F41407005A37}"/>
              </c:ext>
            </c:extLst>
          </c:dPt>
          <c:dPt>
            <c:idx val="1"/>
            <c:marker>
              <c:symbol val="circle"/>
              <c:size val="10"/>
              <c:spPr>
                <a:solidFill>
                  <a:srgbClr val="FF0D01"/>
                </a:solidFill>
                <a:ln w="9525">
                  <a:solidFill>
                    <a:schemeClr val="accent1"/>
                  </a:solidFill>
                </a:ln>
                <a:effectLst/>
              </c:spPr>
            </c:marker>
            <c:bubble3D val="0"/>
            <c:extLst>
              <c:ext xmlns:c16="http://schemas.microsoft.com/office/drawing/2014/chart" uri="{C3380CC4-5D6E-409C-BE32-E72D297353CC}">
                <c16:uniqueId val="{00000001-07A9-4FBE-AC9B-F41407005A37}"/>
              </c:ext>
            </c:extLst>
          </c:dPt>
          <c:dPt>
            <c:idx val="2"/>
            <c:marker>
              <c:symbol val="circle"/>
              <c:size val="10"/>
              <c:spPr>
                <a:solidFill>
                  <a:srgbClr val="FF1F01"/>
                </a:solidFill>
                <a:ln w="9525">
                  <a:solidFill>
                    <a:schemeClr val="accent1"/>
                  </a:solidFill>
                </a:ln>
                <a:effectLst/>
              </c:spPr>
            </c:marker>
            <c:bubble3D val="0"/>
            <c:extLst>
              <c:ext xmlns:c16="http://schemas.microsoft.com/office/drawing/2014/chart" uri="{C3380CC4-5D6E-409C-BE32-E72D297353CC}">
                <c16:uniqueId val="{00000002-07A9-4FBE-AC9B-F41407005A37}"/>
              </c:ext>
            </c:extLst>
          </c:dPt>
          <c:dPt>
            <c:idx val="3"/>
            <c:marker>
              <c:symbol val="circle"/>
              <c:size val="10"/>
              <c:spPr>
                <a:solidFill>
                  <a:srgbClr val="FF2B01"/>
                </a:solidFill>
                <a:ln w="9525">
                  <a:solidFill>
                    <a:schemeClr val="accent1"/>
                  </a:solidFill>
                </a:ln>
                <a:effectLst/>
              </c:spPr>
            </c:marker>
            <c:bubble3D val="0"/>
            <c:extLst>
              <c:ext xmlns:c16="http://schemas.microsoft.com/office/drawing/2014/chart" uri="{C3380CC4-5D6E-409C-BE32-E72D297353CC}">
                <c16:uniqueId val="{00000003-07A9-4FBE-AC9B-F41407005A37}"/>
              </c:ext>
            </c:extLst>
          </c:dPt>
          <c:dPt>
            <c:idx val="4"/>
            <c:marker>
              <c:symbol val="circle"/>
              <c:size val="10"/>
              <c:spPr>
                <a:solidFill>
                  <a:srgbClr val="FF3D01"/>
                </a:solidFill>
                <a:ln w="9525">
                  <a:solidFill>
                    <a:schemeClr val="accent1"/>
                  </a:solidFill>
                </a:ln>
                <a:effectLst/>
              </c:spPr>
            </c:marker>
            <c:bubble3D val="0"/>
            <c:extLst>
              <c:ext xmlns:c16="http://schemas.microsoft.com/office/drawing/2014/chart" uri="{C3380CC4-5D6E-409C-BE32-E72D297353CC}">
                <c16:uniqueId val="{00000004-07A9-4FBE-AC9B-F41407005A37}"/>
              </c:ext>
            </c:extLst>
          </c:dPt>
          <c:dPt>
            <c:idx val="5"/>
            <c:marker>
              <c:symbol val="circle"/>
              <c:size val="10"/>
              <c:spPr>
                <a:solidFill>
                  <a:srgbClr val="FF4901"/>
                </a:solidFill>
                <a:ln w="9525">
                  <a:solidFill>
                    <a:schemeClr val="accent1"/>
                  </a:solidFill>
                </a:ln>
                <a:effectLst/>
              </c:spPr>
            </c:marker>
            <c:bubble3D val="0"/>
            <c:extLst>
              <c:ext xmlns:c16="http://schemas.microsoft.com/office/drawing/2014/chart" uri="{C3380CC4-5D6E-409C-BE32-E72D297353CC}">
                <c16:uniqueId val="{00000005-07A9-4FBE-AC9B-F41407005A37}"/>
              </c:ext>
            </c:extLst>
          </c:dPt>
          <c:dPt>
            <c:idx val="6"/>
            <c:marker>
              <c:symbol val="circle"/>
              <c:size val="10"/>
              <c:spPr>
                <a:solidFill>
                  <a:srgbClr val="FF5B01"/>
                </a:solidFill>
                <a:ln w="9525">
                  <a:solidFill>
                    <a:schemeClr val="accent1"/>
                  </a:solidFill>
                </a:ln>
                <a:effectLst/>
              </c:spPr>
            </c:marker>
            <c:bubble3D val="0"/>
            <c:extLst>
              <c:ext xmlns:c16="http://schemas.microsoft.com/office/drawing/2014/chart" uri="{C3380CC4-5D6E-409C-BE32-E72D297353CC}">
                <c16:uniqueId val="{00000006-07A9-4FBE-AC9B-F41407005A37}"/>
              </c:ext>
            </c:extLst>
          </c:dPt>
          <c:dPt>
            <c:idx val="7"/>
            <c:marker>
              <c:symbol val="circle"/>
              <c:size val="10"/>
              <c:spPr>
                <a:solidFill>
                  <a:srgbClr val="FF6701"/>
                </a:solidFill>
                <a:ln w="9525">
                  <a:solidFill>
                    <a:schemeClr val="accent1"/>
                  </a:solidFill>
                </a:ln>
                <a:effectLst/>
              </c:spPr>
            </c:marker>
            <c:bubble3D val="0"/>
            <c:extLst>
              <c:ext xmlns:c16="http://schemas.microsoft.com/office/drawing/2014/chart" uri="{C3380CC4-5D6E-409C-BE32-E72D297353CC}">
                <c16:uniqueId val="{00000007-07A9-4FBE-AC9B-F41407005A37}"/>
              </c:ext>
            </c:extLst>
          </c:dPt>
          <c:dPt>
            <c:idx val="8"/>
            <c:marker>
              <c:symbol val="circle"/>
              <c:size val="10"/>
              <c:spPr>
                <a:solidFill>
                  <a:srgbClr val="FF7901"/>
                </a:solidFill>
                <a:ln w="9525">
                  <a:solidFill>
                    <a:schemeClr val="accent1"/>
                  </a:solidFill>
                </a:ln>
                <a:effectLst/>
              </c:spPr>
            </c:marker>
            <c:bubble3D val="0"/>
            <c:extLst>
              <c:ext xmlns:c16="http://schemas.microsoft.com/office/drawing/2014/chart" uri="{C3380CC4-5D6E-409C-BE32-E72D297353CC}">
                <c16:uniqueId val="{00000008-07A9-4FBE-AC9B-F41407005A37}"/>
              </c:ext>
            </c:extLst>
          </c:dPt>
          <c:dPt>
            <c:idx val="9"/>
            <c:marker>
              <c:symbol val="circle"/>
              <c:size val="10"/>
              <c:spPr>
                <a:solidFill>
                  <a:srgbClr val="FF8401"/>
                </a:solidFill>
                <a:ln w="9525">
                  <a:solidFill>
                    <a:schemeClr val="accent1"/>
                  </a:solidFill>
                </a:ln>
                <a:effectLst/>
              </c:spPr>
            </c:marker>
            <c:bubble3D val="0"/>
            <c:extLst>
              <c:ext xmlns:c16="http://schemas.microsoft.com/office/drawing/2014/chart" uri="{C3380CC4-5D6E-409C-BE32-E72D297353CC}">
                <c16:uniqueId val="{00000009-07A9-4FBE-AC9B-F41407005A37}"/>
              </c:ext>
            </c:extLst>
          </c:dPt>
          <c:dPt>
            <c:idx val="10"/>
            <c:marker>
              <c:symbol val="circle"/>
              <c:size val="10"/>
              <c:spPr>
                <a:solidFill>
                  <a:srgbClr val="FF9601"/>
                </a:solidFill>
                <a:ln w="9525">
                  <a:solidFill>
                    <a:schemeClr val="accent1"/>
                  </a:solidFill>
                </a:ln>
                <a:effectLst/>
              </c:spPr>
            </c:marker>
            <c:bubble3D val="0"/>
            <c:extLst>
              <c:ext xmlns:c16="http://schemas.microsoft.com/office/drawing/2014/chart" uri="{C3380CC4-5D6E-409C-BE32-E72D297353CC}">
                <c16:uniqueId val="{0000000A-07A9-4FBE-AC9B-F41407005A37}"/>
              </c:ext>
            </c:extLst>
          </c:dPt>
          <c:dPt>
            <c:idx val="11"/>
            <c:marker>
              <c:symbol val="circle"/>
              <c:size val="10"/>
              <c:spPr>
                <a:solidFill>
                  <a:srgbClr val="FFA201"/>
                </a:solidFill>
                <a:ln w="9525">
                  <a:solidFill>
                    <a:schemeClr val="accent1"/>
                  </a:solidFill>
                </a:ln>
                <a:effectLst/>
              </c:spPr>
            </c:marker>
            <c:bubble3D val="0"/>
            <c:extLst>
              <c:ext xmlns:c16="http://schemas.microsoft.com/office/drawing/2014/chart" uri="{C3380CC4-5D6E-409C-BE32-E72D297353CC}">
                <c16:uniqueId val="{0000000B-07A9-4FBE-AC9B-F41407005A37}"/>
              </c:ext>
            </c:extLst>
          </c:dPt>
          <c:dPt>
            <c:idx val="12"/>
            <c:marker>
              <c:symbol val="circle"/>
              <c:size val="10"/>
              <c:spPr>
                <a:solidFill>
                  <a:srgbClr val="FFB401"/>
                </a:solidFill>
                <a:ln w="9525">
                  <a:solidFill>
                    <a:schemeClr val="accent1"/>
                  </a:solidFill>
                </a:ln>
                <a:effectLst/>
              </c:spPr>
            </c:marker>
            <c:bubble3D val="0"/>
            <c:extLst>
              <c:ext xmlns:c16="http://schemas.microsoft.com/office/drawing/2014/chart" uri="{C3380CC4-5D6E-409C-BE32-E72D297353CC}">
                <c16:uniqueId val="{0000000C-07A9-4FBE-AC9B-F41407005A37}"/>
              </c:ext>
            </c:extLst>
          </c:dPt>
          <c:dPt>
            <c:idx val="13"/>
            <c:marker>
              <c:symbol val="circle"/>
              <c:size val="10"/>
              <c:spPr>
                <a:solidFill>
                  <a:srgbClr val="FFC001"/>
                </a:solidFill>
                <a:ln w="9525">
                  <a:solidFill>
                    <a:schemeClr val="accent1"/>
                  </a:solidFill>
                </a:ln>
                <a:effectLst/>
              </c:spPr>
            </c:marker>
            <c:bubble3D val="0"/>
            <c:extLst>
              <c:ext xmlns:c16="http://schemas.microsoft.com/office/drawing/2014/chart" uri="{C3380CC4-5D6E-409C-BE32-E72D297353CC}">
                <c16:uniqueId val="{0000000D-07A9-4FBE-AC9B-F41407005A37}"/>
              </c:ext>
            </c:extLst>
          </c:dPt>
          <c:dPt>
            <c:idx val="14"/>
            <c:marker>
              <c:symbol val="circle"/>
              <c:size val="10"/>
              <c:spPr>
                <a:solidFill>
                  <a:srgbClr val="FFD201"/>
                </a:solidFill>
                <a:ln w="9525">
                  <a:solidFill>
                    <a:schemeClr val="accent1"/>
                  </a:solidFill>
                </a:ln>
                <a:effectLst/>
              </c:spPr>
            </c:marker>
            <c:bubble3D val="0"/>
            <c:extLst>
              <c:ext xmlns:c16="http://schemas.microsoft.com/office/drawing/2014/chart" uri="{C3380CC4-5D6E-409C-BE32-E72D297353CC}">
                <c16:uniqueId val="{0000000E-07A9-4FBE-AC9B-F41407005A37}"/>
              </c:ext>
            </c:extLst>
          </c:dPt>
          <c:dPt>
            <c:idx val="15"/>
            <c:marker>
              <c:symbol val="circle"/>
              <c:size val="10"/>
              <c:spPr>
                <a:solidFill>
                  <a:srgbClr val="FFDE01"/>
                </a:solidFill>
                <a:ln w="9525">
                  <a:solidFill>
                    <a:schemeClr val="accent1"/>
                  </a:solidFill>
                </a:ln>
                <a:effectLst/>
              </c:spPr>
            </c:marker>
            <c:bubble3D val="0"/>
            <c:extLst>
              <c:ext xmlns:c16="http://schemas.microsoft.com/office/drawing/2014/chart" uri="{C3380CC4-5D6E-409C-BE32-E72D297353CC}">
                <c16:uniqueId val="{0000000F-07A9-4FBE-AC9B-F41407005A37}"/>
              </c:ext>
            </c:extLst>
          </c:dPt>
          <c:dPt>
            <c:idx val="16"/>
            <c:marker>
              <c:symbol val="circle"/>
              <c:size val="10"/>
              <c:spPr>
                <a:solidFill>
                  <a:srgbClr val="FFF001"/>
                </a:solidFill>
                <a:ln w="9525">
                  <a:solidFill>
                    <a:schemeClr val="accent1"/>
                  </a:solidFill>
                </a:ln>
                <a:effectLst/>
              </c:spPr>
            </c:marker>
            <c:bubble3D val="0"/>
            <c:extLst>
              <c:ext xmlns:c16="http://schemas.microsoft.com/office/drawing/2014/chart" uri="{C3380CC4-5D6E-409C-BE32-E72D297353CC}">
                <c16:uniqueId val="{00000010-07A9-4FBE-AC9B-F41407005A37}"/>
              </c:ext>
            </c:extLst>
          </c:dPt>
          <c:dPt>
            <c:idx val="17"/>
            <c:marker>
              <c:symbol val="circle"/>
              <c:size val="10"/>
              <c:spPr>
                <a:solidFill>
                  <a:srgbClr val="FFFC01"/>
                </a:solidFill>
                <a:ln w="9525">
                  <a:solidFill>
                    <a:schemeClr val="accent1"/>
                  </a:solidFill>
                </a:ln>
                <a:effectLst/>
              </c:spPr>
            </c:marker>
            <c:bubble3D val="0"/>
            <c:extLst>
              <c:ext xmlns:c16="http://schemas.microsoft.com/office/drawing/2014/chart" uri="{C3380CC4-5D6E-409C-BE32-E72D297353CC}">
                <c16:uniqueId val="{00000011-07A9-4FBE-AC9B-F41407005A37}"/>
              </c:ext>
            </c:extLst>
          </c:dPt>
          <c:dPt>
            <c:idx val="18"/>
            <c:marker>
              <c:symbol val="circle"/>
              <c:size val="10"/>
              <c:spPr>
                <a:solidFill>
                  <a:srgbClr val="F0FF01"/>
                </a:solidFill>
                <a:ln w="9525">
                  <a:solidFill>
                    <a:schemeClr val="accent1"/>
                  </a:solidFill>
                </a:ln>
                <a:effectLst/>
              </c:spPr>
            </c:marker>
            <c:bubble3D val="0"/>
            <c:extLst>
              <c:ext xmlns:c16="http://schemas.microsoft.com/office/drawing/2014/chart" uri="{C3380CC4-5D6E-409C-BE32-E72D297353CC}">
                <c16:uniqueId val="{00000012-07A9-4FBE-AC9B-F41407005A37}"/>
              </c:ext>
            </c:extLst>
          </c:dPt>
          <c:dPt>
            <c:idx val="19"/>
            <c:marker>
              <c:symbol val="circle"/>
              <c:size val="10"/>
              <c:spPr>
                <a:solidFill>
                  <a:srgbClr val="E4FF01"/>
                </a:solidFill>
                <a:ln w="9525">
                  <a:solidFill>
                    <a:schemeClr val="accent1"/>
                  </a:solidFill>
                </a:ln>
                <a:effectLst/>
              </c:spPr>
            </c:marker>
            <c:bubble3D val="0"/>
            <c:extLst>
              <c:ext xmlns:c16="http://schemas.microsoft.com/office/drawing/2014/chart" uri="{C3380CC4-5D6E-409C-BE32-E72D297353CC}">
                <c16:uniqueId val="{00000014-07A9-4FBE-AC9B-F41407005A37}"/>
              </c:ext>
            </c:extLst>
          </c:dPt>
          <c:dPt>
            <c:idx val="20"/>
            <c:marker>
              <c:symbol val="circle"/>
              <c:size val="10"/>
              <c:spPr>
                <a:solidFill>
                  <a:srgbClr val="D2FF01"/>
                </a:solidFill>
                <a:ln w="9525">
                  <a:solidFill>
                    <a:schemeClr val="accent1"/>
                  </a:solidFill>
                </a:ln>
                <a:effectLst/>
              </c:spPr>
            </c:marker>
            <c:bubble3D val="0"/>
            <c:extLst>
              <c:ext xmlns:c16="http://schemas.microsoft.com/office/drawing/2014/chart" uri="{C3380CC4-5D6E-409C-BE32-E72D297353CC}">
                <c16:uniqueId val="{00000015-07A9-4FBE-AC9B-F41407005A37}"/>
              </c:ext>
            </c:extLst>
          </c:dPt>
          <c:dPt>
            <c:idx val="21"/>
            <c:marker>
              <c:symbol val="circle"/>
              <c:size val="10"/>
              <c:spPr>
                <a:solidFill>
                  <a:srgbClr val="C6FF01"/>
                </a:solidFill>
                <a:ln w="9525">
                  <a:solidFill>
                    <a:schemeClr val="accent1"/>
                  </a:solidFill>
                </a:ln>
                <a:effectLst/>
              </c:spPr>
            </c:marker>
            <c:bubble3D val="0"/>
            <c:extLst>
              <c:ext xmlns:c16="http://schemas.microsoft.com/office/drawing/2014/chart" uri="{C3380CC4-5D6E-409C-BE32-E72D297353CC}">
                <c16:uniqueId val="{00000016-07A9-4FBE-AC9B-F41407005A37}"/>
              </c:ext>
            </c:extLst>
          </c:dPt>
          <c:dPt>
            <c:idx val="22"/>
            <c:marker>
              <c:symbol val="circle"/>
              <c:size val="10"/>
              <c:spPr>
                <a:solidFill>
                  <a:srgbClr val="B4FF01"/>
                </a:solidFill>
                <a:ln w="9525">
                  <a:solidFill>
                    <a:schemeClr val="accent1"/>
                  </a:solidFill>
                </a:ln>
                <a:effectLst/>
              </c:spPr>
            </c:marker>
            <c:bubble3D val="0"/>
            <c:extLst>
              <c:ext xmlns:c16="http://schemas.microsoft.com/office/drawing/2014/chart" uri="{C3380CC4-5D6E-409C-BE32-E72D297353CC}">
                <c16:uniqueId val="{00000017-07A9-4FBE-AC9B-F41407005A37}"/>
              </c:ext>
            </c:extLst>
          </c:dPt>
          <c:dPt>
            <c:idx val="23"/>
            <c:marker>
              <c:symbol val="circle"/>
              <c:size val="10"/>
              <c:spPr>
                <a:solidFill>
                  <a:srgbClr val="A8FF01"/>
                </a:solidFill>
                <a:ln w="9525">
                  <a:solidFill>
                    <a:schemeClr val="accent1"/>
                  </a:solidFill>
                </a:ln>
                <a:effectLst/>
              </c:spPr>
            </c:marker>
            <c:bubble3D val="0"/>
            <c:extLst>
              <c:ext xmlns:c16="http://schemas.microsoft.com/office/drawing/2014/chart" uri="{C3380CC4-5D6E-409C-BE32-E72D297353CC}">
                <c16:uniqueId val="{00000018-07A9-4FBE-AC9B-F41407005A37}"/>
              </c:ext>
            </c:extLst>
          </c:dPt>
          <c:dPt>
            <c:idx val="24"/>
            <c:marker>
              <c:symbol val="circle"/>
              <c:size val="10"/>
              <c:spPr>
                <a:solidFill>
                  <a:srgbClr val="96FF01"/>
                </a:solidFill>
                <a:ln w="9525">
                  <a:solidFill>
                    <a:schemeClr val="accent1"/>
                  </a:solidFill>
                </a:ln>
                <a:effectLst/>
              </c:spPr>
            </c:marker>
            <c:bubble3D val="0"/>
            <c:extLst>
              <c:ext xmlns:c16="http://schemas.microsoft.com/office/drawing/2014/chart" uri="{C3380CC4-5D6E-409C-BE32-E72D297353CC}">
                <c16:uniqueId val="{00000019-07A9-4FBE-AC9B-F41407005A37}"/>
              </c:ext>
            </c:extLst>
          </c:dPt>
          <c:dPt>
            <c:idx val="25"/>
            <c:marker>
              <c:symbol val="circle"/>
              <c:size val="10"/>
              <c:spPr>
                <a:solidFill>
                  <a:srgbClr val="8AFF01"/>
                </a:solidFill>
                <a:ln w="9525">
                  <a:solidFill>
                    <a:schemeClr val="accent1"/>
                  </a:solidFill>
                </a:ln>
                <a:effectLst/>
              </c:spPr>
            </c:marker>
            <c:bubble3D val="0"/>
            <c:extLst>
              <c:ext xmlns:c16="http://schemas.microsoft.com/office/drawing/2014/chart" uri="{C3380CC4-5D6E-409C-BE32-E72D297353CC}">
                <c16:uniqueId val="{0000001A-07A9-4FBE-AC9B-F41407005A37}"/>
              </c:ext>
            </c:extLst>
          </c:dPt>
          <c:dPt>
            <c:idx val="26"/>
            <c:marker>
              <c:symbol val="circle"/>
              <c:size val="10"/>
              <c:spPr>
                <a:solidFill>
                  <a:srgbClr val="79FF01"/>
                </a:solidFill>
                <a:ln w="9525">
                  <a:solidFill>
                    <a:schemeClr val="accent1"/>
                  </a:solidFill>
                </a:ln>
                <a:effectLst/>
              </c:spPr>
            </c:marker>
            <c:bubble3D val="0"/>
            <c:extLst>
              <c:ext xmlns:c16="http://schemas.microsoft.com/office/drawing/2014/chart" uri="{C3380CC4-5D6E-409C-BE32-E72D297353CC}">
                <c16:uniqueId val="{0000001B-07A9-4FBE-AC9B-F41407005A37}"/>
              </c:ext>
            </c:extLst>
          </c:dPt>
          <c:dPt>
            <c:idx val="27"/>
            <c:marker>
              <c:symbol val="circle"/>
              <c:size val="10"/>
              <c:spPr>
                <a:solidFill>
                  <a:srgbClr val="6DFF01"/>
                </a:solidFill>
                <a:ln w="9525">
                  <a:solidFill>
                    <a:schemeClr val="accent1"/>
                  </a:solidFill>
                </a:ln>
                <a:effectLst/>
              </c:spPr>
            </c:marker>
            <c:bubble3D val="0"/>
            <c:extLst>
              <c:ext xmlns:c16="http://schemas.microsoft.com/office/drawing/2014/chart" uri="{C3380CC4-5D6E-409C-BE32-E72D297353CC}">
                <c16:uniqueId val="{0000001C-07A9-4FBE-AC9B-F41407005A37}"/>
              </c:ext>
            </c:extLst>
          </c:dPt>
          <c:dPt>
            <c:idx val="28"/>
            <c:marker>
              <c:symbol val="circle"/>
              <c:size val="10"/>
              <c:spPr>
                <a:solidFill>
                  <a:srgbClr val="5BFF01"/>
                </a:solidFill>
                <a:ln w="9525">
                  <a:solidFill>
                    <a:schemeClr val="accent1"/>
                  </a:solidFill>
                </a:ln>
                <a:effectLst/>
              </c:spPr>
            </c:marker>
            <c:bubble3D val="0"/>
            <c:extLst>
              <c:ext xmlns:c16="http://schemas.microsoft.com/office/drawing/2014/chart" uri="{C3380CC4-5D6E-409C-BE32-E72D297353CC}">
                <c16:uniqueId val="{0000001D-07A9-4FBE-AC9B-F41407005A37}"/>
              </c:ext>
            </c:extLst>
          </c:dPt>
          <c:dPt>
            <c:idx val="29"/>
            <c:marker>
              <c:symbol val="circle"/>
              <c:size val="10"/>
              <c:spPr>
                <a:solidFill>
                  <a:srgbClr val="4FFF01"/>
                </a:solidFill>
                <a:ln w="9525">
                  <a:solidFill>
                    <a:schemeClr val="accent1"/>
                  </a:solidFill>
                </a:ln>
                <a:effectLst/>
              </c:spPr>
            </c:marker>
            <c:bubble3D val="0"/>
            <c:extLst>
              <c:ext xmlns:c16="http://schemas.microsoft.com/office/drawing/2014/chart" uri="{C3380CC4-5D6E-409C-BE32-E72D297353CC}">
                <c16:uniqueId val="{0000001E-07A9-4FBE-AC9B-F41407005A37}"/>
              </c:ext>
            </c:extLst>
          </c:dPt>
          <c:dPt>
            <c:idx val="30"/>
            <c:marker>
              <c:symbol val="circle"/>
              <c:size val="10"/>
              <c:spPr>
                <a:solidFill>
                  <a:srgbClr val="3DFF01"/>
                </a:solidFill>
                <a:ln w="9525">
                  <a:solidFill>
                    <a:schemeClr val="accent1"/>
                  </a:solidFill>
                </a:ln>
                <a:effectLst/>
              </c:spPr>
            </c:marker>
            <c:bubble3D val="0"/>
            <c:extLst>
              <c:ext xmlns:c16="http://schemas.microsoft.com/office/drawing/2014/chart" uri="{C3380CC4-5D6E-409C-BE32-E72D297353CC}">
                <c16:uniqueId val="{0000001F-07A9-4FBE-AC9B-F41407005A37}"/>
              </c:ext>
            </c:extLst>
          </c:dPt>
          <c:dPt>
            <c:idx val="31"/>
            <c:marker>
              <c:symbol val="circle"/>
              <c:size val="10"/>
              <c:spPr>
                <a:solidFill>
                  <a:srgbClr val="31FF01"/>
                </a:solidFill>
                <a:ln w="9525">
                  <a:solidFill>
                    <a:schemeClr val="accent1"/>
                  </a:solidFill>
                </a:ln>
                <a:effectLst/>
              </c:spPr>
            </c:marker>
            <c:bubble3D val="0"/>
            <c:extLst>
              <c:ext xmlns:c16="http://schemas.microsoft.com/office/drawing/2014/chart" uri="{C3380CC4-5D6E-409C-BE32-E72D297353CC}">
                <c16:uniqueId val="{00000020-07A9-4FBE-AC9B-F41407005A37}"/>
              </c:ext>
            </c:extLst>
          </c:dPt>
          <c:dPt>
            <c:idx val="32"/>
            <c:marker>
              <c:symbol val="circle"/>
              <c:size val="10"/>
              <c:spPr>
                <a:solidFill>
                  <a:srgbClr val="1FFF01"/>
                </a:solidFill>
                <a:ln w="9525">
                  <a:solidFill>
                    <a:schemeClr val="accent1"/>
                  </a:solidFill>
                </a:ln>
                <a:effectLst/>
              </c:spPr>
            </c:marker>
            <c:bubble3D val="0"/>
            <c:extLst>
              <c:ext xmlns:c16="http://schemas.microsoft.com/office/drawing/2014/chart" uri="{C3380CC4-5D6E-409C-BE32-E72D297353CC}">
                <c16:uniqueId val="{00000021-07A9-4FBE-AC9B-F41407005A37}"/>
              </c:ext>
            </c:extLst>
          </c:dPt>
          <c:dPt>
            <c:idx val="33"/>
            <c:marker>
              <c:symbol val="circle"/>
              <c:size val="10"/>
              <c:spPr>
                <a:solidFill>
                  <a:srgbClr val="13FF01"/>
                </a:solidFill>
                <a:ln w="9525">
                  <a:solidFill>
                    <a:schemeClr val="accent1"/>
                  </a:solidFill>
                </a:ln>
                <a:effectLst/>
              </c:spPr>
            </c:marker>
            <c:bubble3D val="0"/>
            <c:extLst>
              <c:ext xmlns:c16="http://schemas.microsoft.com/office/drawing/2014/chart" uri="{C3380CC4-5D6E-409C-BE32-E72D297353CC}">
                <c16:uniqueId val="{00000022-07A9-4FBE-AC9B-F41407005A37}"/>
              </c:ext>
            </c:extLst>
          </c:dPt>
          <c:dPt>
            <c:idx val="34"/>
            <c:marker>
              <c:symbol val="circle"/>
              <c:size val="10"/>
              <c:spPr>
                <a:solidFill>
                  <a:srgbClr val="01FF01"/>
                </a:solidFill>
                <a:ln w="9525">
                  <a:solidFill>
                    <a:schemeClr val="accent1"/>
                  </a:solidFill>
                </a:ln>
                <a:effectLst/>
              </c:spPr>
            </c:marker>
            <c:bubble3D val="0"/>
            <c:extLst>
              <c:ext xmlns:c16="http://schemas.microsoft.com/office/drawing/2014/chart" uri="{C3380CC4-5D6E-409C-BE32-E72D297353CC}">
                <c16:uniqueId val="{00000023-07A9-4FBE-AC9B-F41407005A37}"/>
              </c:ext>
            </c:extLst>
          </c:dPt>
          <c:dPt>
            <c:idx val="35"/>
            <c:marker>
              <c:symbol val="circle"/>
              <c:size val="10"/>
              <c:spPr>
                <a:solidFill>
                  <a:srgbClr val="01FF0D"/>
                </a:solidFill>
                <a:ln w="9525">
                  <a:solidFill>
                    <a:schemeClr val="accent1"/>
                  </a:solidFill>
                </a:ln>
                <a:effectLst/>
              </c:spPr>
            </c:marker>
            <c:bubble3D val="0"/>
            <c:extLst>
              <c:ext xmlns:c16="http://schemas.microsoft.com/office/drawing/2014/chart" uri="{C3380CC4-5D6E-409C-BE32-E72D297353CC}">
                <c16:uniqueId val="{00000024-07A9-4FBE-AC9B-F41407005A37}"/>
              </c:ext>
            </c:extLst>
          </c:dPt>
          <c:dPt>
            <c:idx val="36"/>
            <c:marker>
              <c:symbol val="circle"/>
              <c:size val="10"/>
              <c:spPr>
                <a:solidFill>
                  <a:srgbClr val="01FF1F"/>
                </a:solidFill>
                <a:ln w="9525">
                  <a:solidFill>
                    <a:schemeClr val="accent1"/>
                  </a:solidFill>
                </a:ln>
                <a:effectLst/>
              </c:spPr>
            </c:marker>
            <c:bubble3D val="0"/>
            <c:extLst>
              <c:ext xmlns:c16="http://schemas.microsoft.com/office/drawing/2014/chart" uri="{C3380CC4-5D6E-409C-BE32-E72D297353CC}">
                <c16:uniqueId val="{00000025-07A9-4FBE-AC9B-F41407005A37}"/>
              </c:ext>
            </c:extLst>
          </c:dPt>
          <c:dPt>
            <c:idx val="37"/>
            <c:marker>
              <c:symbol val="circle"/>
              <c:size val="10"/>
              <c:spPr>
                <a:solidFill>
                  <a:srgbClr val="01FF2B"/>
                </a:solidFill>
                <a:ln w="9525">
                  <a:solidFill>
                    <a:schemeClr val="accent1"/>
                  </a:solidFill>
                </a:ln>
                <a:effectLst/>
              </c:spPr>
            </c:marker>
            <c:bubble3D val="0"/>
            <c:extLst>
              <c:ext xmlns:c16="http://schemas.microsoft.com/office/drawing/2014/chart" uri="{C3380CC4-5D6E-409C-BE32-E72D297353CC}">
                <c16:uniqueId val="{00000026-07A9-4FBE-AC9B-F41407005A37}"/>
              </c:ext>
            </c:extLst>
          </c:dPt>
          <c:dPt>
            <c:idx val="38"/>
            <c:marker>
              <c:symbol val="circle"/>
              <c:size val="10"/>
              <c:spPr>
                <a:solidFill>
                  <a:srgbClr val="01FF3D"/>
                </a:solidFill>
                <a:ln w="9525">
                  <a:solidFill>
                    <a:schemeClr val="accent1"/>
                  </a:solidFill>
                </a:ln>
                <a:effectLst/>
              </c:spPr>
            </c:marker>
            <c:bubble3D val="0"/>
            <c:extLst>
              <c:ext xmlns:c16="http://schemas.microsoft.com/office/drawing/2014/chart" uri="{C3380CC4-5D6E-409C-BE32-E72D297353CC}">
                <c16:uniqueId val="{00000027-07A9-4FBE-AC9B-F41407005A37}"/>
              </c:ext>
            </c:extLst>
          </c:dPt>
          <c:dPt>
            <c:idx val="39"/>
            <c:marker>
              <c:symbol val="circle"/>
              <c:size val="10"/>
              <c:spPr>
                <a:solidFill>
                  <a:srgbClr val="01FF49"/>
                </a:solidFill>
                <a:ln w="9525">
                  <a:solidFill>
                    <a:schemeClr val="accent1"/>
                  </a:solidFill>
                </a:ln>
                <a:effectLst/>
              </c:spPr>
            </c:marker>
            <c:bubble3D val="0"/>
            <c:extLst>
              <c:ext xmlns:c16="http://schemas.microsoft.com/office/drawing/2014/chart" uri="{C3380CC4-5D6E-409C-BE32-E72D297353CC}">
                <c16:uniqueId val="{00000027-B40B-4B19-9790-B6DF4BE52E99}"/>
              </c:ext>
            </c:extLst>
          </c:dPt>
          <c:dPt>
            <c:idx val="40"/>
            <c:marker>
              <c:symbol val="circle"/>
              <c:size val="10"/>
              <c:spPr>
                <a:solidFill>
                  <a:srgbClr val="01FF5B"/>
                </a:solidFill>
                <a:ln w="9525">
                  <a:solidFill>
                    <a:schemeClr val="accent1"/>
                  </a:solidFill>
                </a:ln>
                <a:effectLst/>
              </c:spPr>
            </c:marker>
            <c:bubble3D val="0"/>
            <c:extLst>
              <c:ext xmlns:c16="http://schemas.microsoft.com/office/drawing/2014/chart" uri="{C3380CC4-5D6E-409C-BE32-E72D297353CC}">
                <c16:uniqueId val="{00000028-B40B-4B19-9790-B6DF4BE52E99}"/>
              </c:ext>
            </c:extLst>
          </c:dPt>
          <c:dPt>
            <c:idx val="41"/>
            <c:marker>
              <c:symbol val="circle"/>
              <c:size val="10"/>
              <c:spPr>
                <a:solidFill>
                  <a:srgbClr val="01FF67"/>
                </a:solidFill>
                <a:ln w="9525">
                  <a:solidFill>
                    <a:schemeClr val="accent1"/>
                  </a:solidFill>
                </a:ln>
                <a:effectLst/>
              </c:spPr>
            </c:marker>
            <c:bubble3D val="0"/>
            <c:extLst>
              <c:ext xmlns:c16="http://schemas.microsoft.com/office/drawing/2014/chart" uri="{C3380CC4-5D6E-409C-BE32-E72D297353CC}">
                <c16:uniqueId val="{00000029-B40B-4B19-9790-B6DF4BE52E99}"/>
              </c:ext>
            </c:extLst>
          </c:dPt>
          <c:dPt>
            <c:idx val="42"/>
            <c:marker>
              <c:symbol val="circle"/>
              <c:size val="10"/>
              <c:spPr>
                <a:solidFill>
                  <a:srgbClr val="01FF79"/>
                </a:solidFill>
                <a:ln w="9525">
                  <a:solidFill>
                    <a:schemeClr val="accent1"/>
                  </a:solidFill>
                </a:ln>
                <a:effectLst/>
              </c:spPr>
            </c:marker>
            <c:bubble3D val="0"/>
            <c:extLst>
              <c:ext xmlns:c16="http://schemas.microsoft.com/office/drawing/2014/chart" uri="{C3380CC4-5D6E-409C-BE32-E72D297353CC}">
                <c16:uniqueId val="{0000002A-B40B-4B19-9790-B6DF4BE52E99}"/>
              </c:ext>
            </c:extLst>
          </c:dPt>
          <c:dPt>
            <c:idx val="43"/>
            <c:marker>
              <c:symbol val="circle"/>
              <c:size val="10"/>
              <c:spPr>
                <a:solidFill>
                  <a:srgbClr val="01FF84"/>
                </a:solidFill>
                <a:ln w="9525">
                  <a:solidFill>
                    <a:schemeClr val="accent1"/>
                  </a:solidFill>
                </a:ln>
                <a:effectLst/>
              </c:spPr>
            </c:marker>
            <c:bubble3D val="0"/>
            <c:extLst>
              <c:ext xmlns:c16="http://schemas.microsoft.com/office/drawing/2014/chart" uri="{C3380CC4-5D6E-409C-BE32-E72D297353CC}">
                <c16:uniqueId val="{0000002B-B40B-4B19-9790-B6DF4BE52E99}"/>
              </c:ext>
            </c:extLst>
          </c:dPt>
          <c:dPt>
            <c:idx val="44"/>
            <c:marker>
              <c:symbol val="circle"/>
              <c:size val="10"/>
              <c:spPr>
                <a:solidFill>
                  <a:srgbClr val="01FF96"/>
                </a:solidFill>
                <a:ln w="9525">
                  <a:solidFill>
                    <a:schemeClr val="accent1"/>
                  </a:solidFill>
                </a:ln>
                <a:effectLst/>
              </c:spPr>
            </c:marker>
            <c:bubble3D val="0"/>
            <c:extLst>
              <c:ext xmlns:c16="http://schemas.microsoft.com/office/drawing/2014/chart" uri="{C3380CC4-5D6E-409C-BE32-E72D297353CC}">
                <c16:uniqueId val="{0000002C-B40B-4B19-9790-B6DF4BE52E99}"/>
              </c:ext>
            </c:extLst>
          </c:dPt>
          <c:dPt>
            <c:idx val="45"/>
            <c:marker>
              <c:symbol val="circle"/>
              <c:size val="10"/>
              <c:spPr>
                <a:solidFill>
                  <a:srgbClr val="01FFA2"/>
                </a:solidFill>
                <a:ln w="9525">
                  <a:solidFill>
                    <a:schemeClr val="accent1"/>
                  </a:solidFill>
                </a:ln>
                <a:effectLst/>
              </c:spPr>
            </c:marker>
            <c:bubble3D val="0"/>
            <c:extLst>
              <c:ext xmlns:c16="http://schemas.microsoft.com/office/drawing/2014/chart" uri="{C3380CC4-5D6E-409C-BE32-E72D297353CC}">
                <c16:uniqueId val="{0000002D-B40B-4B19-9790-B6DF4BE52E99}"/>
              </c:ext>
            </c:extLst>
          </c:dPt>
          <c:dPt>
            <c:idx val="46"/>
            <c:marker>
              <c:symbol val="circle"/>
              <c:size val="10"/>
              <c:spPr>
                <a:solidFill>
                  <a:srgbClr val="01FFB4"/>
                </a:solidFill>
                <a:ln w="9525">
                  <a:solidFill>
                    <a:schemeClr val="accent1"/>
                  </a:solidFill>
                </a:ln>
                <a:effectLst/>
              </c:spPr>
            </c:marker>
            <c:bubble3D val="0"/>
            <c:extLst>
              <c:ext xmlns:c16="http://schemas.microsoft.com/office/drawing/2014/chart" uri="{C3380CC4-5D6E-409C-BE32-E72D297353CC}">
                <c16:uniqueId val="{0000002E-B40B-4B19-9790-B6DF4BE52E99}"/>
              </c:ext>
            </c:extLst>
          </c:dPt>
          <c:dPt>
            <c:idx val="47"/>
            <c:marker>
              <c:symbol val="circle"/>
              <c:size val="10"/>
              <c:spPr>
                <a:solidFill>
                  <a:srgbClr val="01FFC0"/>
                </a:solidFill>
                <a:ln w="9525">
                  <a:solidFill>
                    <a:schemeClr val="accent1"/>
                  </a:solidFill>
                </a:ln>
                <a:effectLst/>
              </c:spPr>
            </c:marker>
            <c:bubble3D val="0"/>
            <c:extLst>
              <c:ext xmlns:c16="http://schemas.microsoft.com/office/drawing/2014/chart" uri="{C3380CC4-5D6E-409C-BE32-E72D297353CC}">
                <c16:uniqueId val="{0000002F-B40B-4B19-9790-B6DF4BE52E99}"/>
              </c:ext>
            </c:extLst>
          </c:dPt>
          <c:dPt>
            <c:idx val="48"/>
            <c:marker>
              <c:symbol val="circle"/>
              <c:size val="10"/>
              <c:spPr>
                <a:solidFill>
                  <a:srgbClr val="01FFD2"/>
                </a:solidFill>
                <a:ln w="9525">
                  <a:solidFill>
                    <a:schemeClr val="accent1"/>
                  </a:solidFill>
                </a:ln>
                <a:effectLst/>
              </c:spPr>
            </c:marker>
            <c:bubble3D val="0"/>
            <c:extLst>
              <c:ext xmlns:c16="http://schemas.microsoft.com/office/drawing/2014/chart" uri="{C3380CC4-5D6E-409C-BE32-E72D297353CC}">
                <c16:uniqueId val="{00000030-B40B-4B19-9790-B6DF4BE52E99}"/>
              </c:ext>
            </c:extLst>
          </c:dPt>
          <c:dPt>
            <c:idx val="49"/>
            <c:marker>
              <c:symbol val="circle"/>
              <c:size val="10"/>
              <c:spPr>
                <a:solidFill>
                  <a:srgbClr val="01FFDE"/>
                </a:solidFill>
                <a:ln w="9525">
                  <a:solidFill>
                    <a:schemeClr val="accent1"/>
                  </a:solidFill>
                </a:ln>
                <a:effectLst/>
              </c:spPr>
            </c:marker>
            <c:bubble3D val="0"/>
            <c:extLst>
              <c:ext xmlns:c16="http://schemas.microsoft.com/office/drawing/2014/chart" uri="{C3380CC4-5D6E-409C-BE32-E72D297353CC}">
                <c16:uniqueId val="{00000031-B40B-4B19-9790-B6DF4BE52E99}"/>
              </c:ext>
            </c:extLst>
          </c:dPt>
          <c:dPt>
            <c:idx val="50"/>
            <c:marker>
              <c:symbol val="circle"/>
              <c:size val="10"/>
              <c:spPr>
                <a:solidFill>
                  <a:srgbClr val="01FFF0"/>
                </a:solidFill>
                <a:ln w="9525">
                  <a:solidFill>
                    <a:schemeClr val="accent1"/>
                  </a:solidFill>
                </a:ln>
                <a:effectLst/>
              </c:spPr>
            </c:marker>
            <c:bubble3D val="0"/>
            <c:extLst>
              <c:ext xmlns:c16="http://schemas.microsoft.com/office/drawing/2014/chart" uri="{C3380CC4-5D6E-409C-BE32-E72D297353CC}">
                <c16:uniqueId val="{00000032-B40B-4B19-9790-B6DF4BE52E99}"/>
              </c:ext>
            </c:extLst>
          </c:dPt>
          <c:dPt>
            <c:idx val="51"/>
            <c:marker>
              <c:symbol val="circle"/>
              <c:size val="10"/>
              <c:spPr>
                <a:solidFill>
                  <a:srgbClr val="01FFFC"/>
                </a:solidFill>
                <a:ln w="9525">
                  <a:solidFill>
                    <a:schemeClr val="accent1"/>
                  </a:solidFill>
                </a:ln>
                <a:effectLst/>
              </c:spPr>
            </c:marker>
            <c:bubble3D val="0"/>
            <c:extLst>
              <c:ext xmlns:c16="http://schemas.microsoft.com/office/drawing/2014/chart" uri="{C3380CC4-5D6E-409C-BE32-E72D297353CC}">
                <c16:uniqueId val="{00000033-B40B-4B19-9790-B6DF4BE52E99}"/>
              </c:ext>
            </c:extLst>
          </c:dPt>
          <c:dPt>
            <c:idx val="52"/>
            <c:marker>
              <c:symbol val="circle"/>
              <c:size val="10"/>
              <c:spPr>
                <a:solidFill>
                  <a:srgbClr val="01F0FF"/>
                </a:solidFill>
                <a:ln w="9525">
                  <a:solidFill>
                    <a:schemeClr val="accent1"/>
                  </a:solidFill>
                </a:ln>
                <a:effectLst/>
              </c:spPr>
            </c:marker>
            <c:bubble3D val="0"/>
            <c:extLst>
              <c:ext xmlns:c16="http://schemas.microsoft.com/office/drawing/2014/chart" uri="{C3380CC4-5D6E-409C-BE32-E72D297353CC}">
                <c16:uniqueId val="{00000034-B40B-4B19-9790-B6DF4BE52E99}"/>
              </c:ext>
            </c:extLst>
          </c:dPt>
          <c:dPt>
            <c:idx val="53"/>
            <c:marker>
              <c:symbol val="circle"/>
              <c:size val="10"/>
              <c:spPr>
                <a:solidFill>
                  <a:srgbClr val="01E4FF"/>
                </a:solidFill>
                <a:ln w="9525">
                  <a:solidFill>
                    <a:schemeClr val="accent1"/>
                  </a:solidFill>
                </a:ln>
                <a:effectLst/>
              </c:spPr>
            </c:marker>
            <c:bubble3D val="0"/>
            <c:extLst>
              <c:ext xmlns:c16="http://schemas.microsoft.com/office/drawing/2014/chart" uri="{C3380CC4-5D6E-409C-BE32-E72D297353CC}">
                <c16:uniqueId val="{00000035-B40B-4B19-9790-B6DF4BE52E99}"/>
              </c:ext>
            </c:extLst>
          </c:dPt>
          <c:dPt>
            <c:idx val="54"/>
            <c:marker>
              <c:symbol val="circle"/>
              <c:size val="10"/>
              <c:spPr>
                <a:solidFill>
                  <a:srgbClr val="01D2FF"/>
                </a:solidFill>
                <a:ln w="9525">
                  <a:solidFill>
                    <a:schemeClr val="accent1"/>
                  </a:solidFill>
                </a:ln>
                <a:effectLst/>
              </c:spPr>
            </c:marker>
            <c:bubble3D val="0"/>
            <c:extLst>
              <c:ext xmlns:c16="http://schemas.microsoft.com/office/drawing/2014/chart" uri="{C3380CC4-5D6E-409C-BE32-E72D297353CC}">
                <c16:uniqueId val="{00000036-B40B-4B19-9790-B6DF4BE52E99}"/>
              </c:ext>
            </c:extLst>
          </c:dPt>
          <c:dPt>
            <c:idx val="55"/>
            <c:marker>
              <c:symbol val="circle"/>
              <c:size val="10"/>
              <c:spPr>
                <a:solidFill>
                  <a:srgbClr val="01C6FF"/>
                </a:solidFill>
                <a:ln w="9525">
                  <a:solidFill>
                    <a:schemeClr val="accent1"/>
                  </a:solidFill>
                </a:ln>
                <a:effectLst/>
              </c:spPr>
            </c:marker>
            <c:bubble3D val="0"/>
            <c:extLst>
              <c:ext xmlns:c16="http://schemas.microsoft.com/office/drawing/2014/chart" uri="{C3380CC4-5D6E-409C-BE32-E72D297353CC}">
                <c16:uniqueId val="{00000037-B40B-4B19-9790-B6DF4BE52E99}"/>
              </c:ext>
            </c:extLst>
          </c:dPt>
          <c:dPt>
            <c:idx val="56"/>
            <c:marker>
              <c:symbol val="circle"/>
              <c:size val="10"/>
              <c:spPr>
                <a:solidFill>
                  <a:srgbClr val="01B4FF"/>
                </a:solidFill>
                <a:ln w="9525">
                  <a:solidFill>
                    <a:schemeClr val="accent1"/>
                  </a:solidFill>
                </a:ln>
                <a:effectLst/>
              </c:spPr>
            </c:marker>
            <c:bubble3D val="0"/>
            <c:extLst>
              <c:ext xmlns:c16="http://schemas.microsoft.com/office/drawing/2014/chart" uri="{C3380CC4-5D6E-409C-BE32-E72D297353CC}">
                <c16:uniqueId val="{00000038-B40B-4B19-9790-B6DF4BE52E99}"/>
              </c:ext>
            </c:extLst>
          </c:dPt>
          <c:dPt>
            <c:idx val="57"/>
            <c:marker>
              <c:symbol val="circle"/>
              <c:size val="10"/>
              <c:spPr>
                <a:solidFill>
                  <a:srgbClr val="01A8FF"/>
                </a:solidFill>
                <a:ln w="9525">
                  <a:solidFill>
                    <a:schemeClr val="accent1"/>
                  </a:solidFill>
                </a:ln>
                <a:effectLst/>
              </c:spPr>
            </c:marker>
            <c:bubble3D val="0"/>
            <c:extLst>
              <c:ext xmlns:c16="http://schemas.microsoft.com/office/drawing/2014/chart" uri="{C3380CC4-5D6E-409C-BE32-E72D297353CC}">
                <c16:uniqueId val="{00000039-B40B-4B19-9790-B6DF4BE52E99}"/>
              </c:ext>
            </c:extLst>
          </c:dPt>
          <c:dPt>
            <c:idx val="58"/>
            <c:marker>
              <c:symbol val="circle"/>
              <c:size val="10"/>
              <c:spPr>
                <a:solidFill>
                  <a:srgbClr val="0196FF"/>
                </a:solidFill>
                <a:ln w="9525">
                  <a:solidFill>
                    <a:schemeClr val="accent1"/>
                  </a:solidFill>
                </a:ln>
                <a:effectLst/>
              </c:spPr>
            </c:marker>
            <c:bubble3D val="0"/>
            <c:extLst>
              <c:ext xmlns:c16="http://schemas.microsoft.com/office/drawing/2014/chart" uri="{C3380CC4-5D6E-409C-BE32-E72D297353CC}">
                <c16:uniqueId val="{0000003A-B40B-4B19-9790-B6DF4BE52E99}"/>
              </c:ext>
            </c:extLst>
          </c:dPt>
          <c:dPt>
            <c:idx val="59"/>
            <c:marker>
              <c:symbol val="circle"/>
              <c:size val="10"/>
              <c:spPr>
                <a:solidFill>
                  <a:srgbClr val="018AFF"/>
                </a:solidFill>
                <a:ln w="9525">
                  <a:solidFill>
                    <a:schemeClr val="accent1"/>
                  </a:solidFill>
                </a:ln>
                <a:effectLst/>
              </c:spPr>
            </c:marker>
            <c:bubble3D val="0"/>
            <c:extLst>
              <c:ext xmlns:c16="http://schemas.microsoft.com/office/drawing/2014/chart" uri="{C3380CC4-5D6E-409C-BE32-E72D297353CC}">
                <c16:uniqueId val="{0000003B-B40B-4B19-9790-B6DF4BE52E99}"/>
              </c:ext>
            </c:extLst>
          </c:dPt>
          <c:dPt>
            <c:idx val="60"/>
            <c:marker>
              <c:symbol val="circle"/>
              <c:size val="10"/>
              <c:spPr>
                <a:solidFill>
                  <a:srgbClr val="0179FF"/>
                </a:solidFill>
                <a:ln w="9525">
                  <a:solidFill>
                    <a:schemeClr val="accent1"/>
                  </a:solidFill>
                </a:ln>
                <a:effectLst/>
              </c:spPr>
            </c:marker>
            <c:bubble3D val="0"/>
            <c:extLst>
              <c:ext xmlns:c16="http://schemas.microsoft.com/office/drawing/2014/chart" uri="{C3380CC4-5D6E-409C-BE32-E72D297353CC}">
                <c16:uniqueId val="{0000003C-B40B-4B19-9790-B6DF4BE52E99}"/>
              </c:ext>
            </c:extLst>
          </c:dPt>
          <c:dPt>
            <c:idx val="61"/>
            <c:marker>
              <c:symbol val="circle"/>
              <c:size val="10"/>
              <c:spPr>
                <a:solidFill>
                  <a:srgbClr val="016DFF"/>
                </a:solidFill>
                <a:ln w="9525">
                  <a:solidFill>
                    <a:schemeClr val="accent1"/>
                  </a:solidFill>
                </a:ln>
                <a:effectLst/>
              </c:spPr>
            </c:marker>
            <c:bubble3D val="0"/>
            <c:extLst>
              <c:ext xmlns:c16="http://schemas.microsoft.com/office/drawing/2014/chart" uri="{C3380CC4-5D6E-409C-BE32-E72D297353CC}">
                <c16:uniqueId val="{0000003D-B40B-4B19-9790-B6DF4BE52E99}"/>
              </c:ext>
            </c:extLst>
          </c:dPt>
          <c:dPt>
            <c:idx val="62"/>
            <c:marker>
              <c:symbol val="circle"/>
              <c:size val="10"/>
              <c:spPr>
                <a:solidFill>
                  <a:srgbClr val="015BFF"/>
                </a:solidFill>
                <a:ln w="9525">
                  <a:solidFill>
                    <a:schemeClr val="accent1"/>
                  </a:solidFill>
                </a:ln>
                <a:effectLst/>
              </c:spPr>
            </c:marker>
            <c:bubble3D val="0"/>
            <c:extLst>
              <c:ext xmlns:c16="http://schemas.microsoft.com/office/drawing/2014/chart" uri="{C3380CC4-5D6E-409C-BE32-E72D297353CC}">
                <c16:uniqueId val="{0000003E-B40B-4B19-9790-B6DF4BE52E99}"/>
              </c:ext>
            </c:extLst>
          </c:dPt>
          <c:dPt>
            <c:idx val="63"/>
            <c:marker>
              <c:symbol val="circle"/>
              <c:size val="10"/>
              <c:spPr>
                <a:solidFill>
                  <a:srgbClr val="014FFF"/>
                </a:solidFill>
                <a:ln w="9525">
                  <a:solidFill>
                    <a:schemeClr val="accent1"/>
                  </a:solidFill>
                </a:ln>
                <a:effectLst/>
              </c:spPr>
            </c:marker>
            <c:bubble3D val="0"/>
            <c:extLst>
              <c:ext xmlns:c16="http://schemas.microsoft.com/office/drawing/2014/chart" uri="{C3380CC4-5D6E-409C-BE32-E72D297353CC}">
                <c16:uniqueId val="{0000003F-B40B-4B19-9790-B6DF4BE52E99}"/>
              </c:ext>
            </c:extLst>
          </c:dPt>
          <c:dPt>
            <c:idx val="64"/>
            <c:marker>
              <c:symbol val="circle"/>
              <c:size val="10"/>
              <c:spPr>
                <a:solidFill>
                  <a:srgbClr val="013DFF"/>
                </a:solidFill>
                <a:ln w="9525">
                  <a:solidFill>
                    <a:schemeClr val="accent1"/>
                  </a:solidFill>
                </a:ln>
                <a:effectLst/>
              </c:spPr>
            </c:marker>
            <c:bubble3D val="0"/>
            <c:extLst>
              <c:ext xmlns:c16="http://schemas.microsoft.com/office/drawing/2014/chart" uri="{C3380CC4-5D6E-409C-BE32-E72D297353CC}">
                <c16:uniqueId val="{00000040-B40B-4B19-9790-B6DF4BE52E99}"/>
              </c:ext>
            </c:extLst>
          </c:dPt>
          <c:dPt>
            <c:idx val="65"/>
            <c:marker>
              <c:symbol val="circle"/>
              <c:size val="10"/>
              <c:spPr>
                <a:solidFill>
                  <a:srgbClr val="0131FF"/>
                </a:solidFill>
                <a:ln w="9525">
                  <a:solidFill>
                    <a:schemeClr val="accent1"/>
                  </a:solidFill>
                </a:ln>
                <a:effectLst/>
              </c:spPr>
            </c:marker>
            <c:bubble3D val="0"/>
            <c:extLst>
              <c:ext xmlns:c16="http://schemas.microsoft.com/office/drawing/2014/chart" uri="{C3380CC4-5D6E-409C-BE32-E72D297353CC}">
                <c16:uniqueId val="{00000041-B40B-4B19-9790-B6DF4BE52E99}"/>
              </c:ext>
            </c:extLst>
          </c:dPt>
          <c:dPt>
            <c:idx val="66"/>
            <c:marker>
              <c:symbol val="circle"/>
              <c:size val="10"/>
              <c:spPr>
                <a:solidFill>
                  <a:srgbClr val="011FFF"/>
                </a:solidFill>
                <a:ln w="9525">
                  <a:solidFill>
                    <a:schemeClr val="accent1"/>
                  </a:solidFill>
                </a:ln>
                <a:effectLst/>
              </c:spPr>
            </c:marker>
            <c:bubble3D val="0"/>
            <c:extLst>
              <c:ext xmlns:c16="http://schemas.microsoft.com/office/drawing/2014/chart" uri="{C3380CC4-5D6E-409C-BE32-E72D297353CC}">
                <c16:uniqueId val="{00000042-B40B-4B19-9790-B6DF4BE52E99}"/>
              </c:ext>
            </c:extLst>
          </c:dPt>
          <c:dPt>
            <c:idx val="67"/>
            <c:marker>
              <c:symbol val="circle"/>
              <c:size val="10"/>
              <c:spPr>
                <a:solidFill>
                  <a:srgbClr val="0113FF"/>
                </a:solidFill>
                <a:ln w="9525">
                  <a:solidFill>
                    <a:schemeClr val="accent1"/>
                  </a:solidFill>
                </a:ln>
                <a:effectLst/>
              </c:spPr>
            </c:marker>
            <c:bubble3D val="0"/>
            <c:extLst>
              <c:ext xmlns:c16="http://schemas.microsoft.com/office/drawing/2014/chart" uri="{C3380CC4-5D6E-409C-BE32-E72D297353CC}">
                <c16:uniqueId val="{00000043-B40B-4B19-9790-B6DF4BE52E99}"/>
              </c:ext>
            </c:extLst>
          </c:dPt>
          <c:dPt>
            <c:idx val="68"/>
            <c:marker>
              <c:symbol val="circle"/>
              <c:size val="10"/>
              <c:spPr>
                <a:solidFill>
                  <a:srgbClr val="0101FF"/>
                </a:solidFill>
                <a:ln w="9525">
                  <a:solidFill>
                    <a:schemeClr val="accent1"/>
                  </a:solidFill>
                </a:ln>
                <a:effectLst/>
              </c:spPr>
            </c:marker>
            <c:bubble3D val="0"/>
            <c:extLst>
              <c:ext xmlns:c16="http://schemas.microsoft.com/office/drawing/2014/chart" uri="{C3380CC4-5D6E-409C-BE32-E72D297353CC}">
                <c16:uniqueId val="{00000044-B40B-4B19-9790-B6DF4BE52E99}"/>
              </c:ext>
            </c:extLst>
          </c:dPt>
          <c:dPt>
            <c:idx val="69"/>
            <c:marker>
              <c:symbol val="circle"/>
              <c:size val="10"/>
              <c:spPr>
                <a:solidFill>
                  <a:srgbClr val="0D01FF"/>
                </a:solidFill>
                <a:ln w="9525">
                  <a:solidFill>
                    <a:schemeClr val="accent1"/>
                  </a:solidFill>
                </a:ln>
                <a:effectLst/>
              </c:spPr>
            </c:marker>
            <c:bubble3D val="0"/>
            <c:extLst>
              <c:ext xmlns:c16="http://schemas.microsoft.com/office/drawing/2014/chart" uri="{C3380CC4-5D6E-409C-BE32-E72D297353CC}">
                <c16:uniqueId val="{00000045-B40B-4B19-9790-B6DF4BE52E99}"/>
              </c:ext>
            </c:extLst>
          </c:dPt>
          <c:dPt>
            <c:idx val="70"/>
            <c:marker>
              <c:symbol val="circle"/>
              <c:size val="10"/>
              <c:spPr>
                <a:solidFill>
                  <a:srgbClr val="1F01FF"/>
                </a:solidFill>
                <a:ln w="9525">
                  <a:solidFill>
                    <a:schemeClr val="accent1"/>
                  </a:solidFill>
                </a:ln>
                <a:effectLst/>
              </c:spPr>
            </c:marker>
            <c:bubble3D val="0"/>
            <c:extLst>
              <c:ext xmlns:c16="http://schemas.microsoft.com/office/drawing/2014/chart" uri="{C3380CC4-5D6E-409C-BE32-E72D297353CC}">
                <c16:uniqueId val="{00000046-B40B-4B19-9790-B6DF4BE52E99}"/>
              </c:ext>
            </c:extLst>
          </c:dPt>
          <c:dPt>
            <c:idx val="71"/>
            <c:marker>
              <c:symbol val="circle"/>
              <c:size val="10"/>
              <c:spPr>
                <a:solidFill>
                  <a:srgbClr val="2B01FF"/>
                </a:solidFill>
                <a:ln w="9525">
                  <a:solidFill>
                    <a:schemeClr val="accent1"/>
                  </a:solidFill>
                </a:ln>
                <a:effectLst/>
              </c:spPr>
            </c:marker>
            <c:bubble3D val="0"/>
            <c:extLst>
              <c:ext xmlns:c16="http://schemas.microsoft.com/office/drawing/2014/chart" uri="{C3380CC4-5D6E-409C-BE32-E72D297353CC}">
                <c16:uniqueId val="{00000047-B40B-4B19-9790-B6DF4BE52E99}"/>
              </c:ext>
            </c:extLst>
          </c:dPt>
          <c:dPt>
            <c:idx val="72"/>
            <c:marker>
              <c:symbol val="circle"/>
              <c:size val="10"/>
              <c:spPr>
                <a:solidFill>
                  <a:srgbClr val="3D01FF"/>
                </a:solidFill>
                <a:ln w="9525">
                  <a:solidFill>
                    <a:schemeClr val="accent1"/>
                  </a:solidFill>
                </a:ln>
                <a:effectLst/>
              </c:spPr>
            </c:marker>
            <c:bubble3D val="0"/>
            <c:extLst>
              <c:ext xmlns:c16="http://schemas.microsoft.com/office/drawing/2014/chart" uri="{C3380CC4-5D6E-409C-BE32-E72D297353CC}">
                <c16:uniqueId val="{00000048-B40B-4B19-9790-B6DF4BE52E99}"/>
              </c:ext>
            </c:extLst>
          </c:dPt>
          <c:dPt>
            <c:idx val="73"/>
            <c:marker>
              <c:symbol val="circle"/>
              <c:size val="10"/>
              <c:spPr>
                <a:solidFill>
                  <a:srgbClr val="4901FF"/>
                </a:solidFill>
                <a:ln w="9525">
                  <a:solidFill>
                    <a:schemeClr val="accent1"/>
                  </a:solidFill>
                </a:ln>
                <a:effectLst/>
              </c:spPr>
            </c:marker>
            <c:bubble3D val="0"/>
            <c:extLst>
              <c:ext xmlns:c16="http://schemas.microsoft.com/office/drawing/2014/chart" uri="{C3380CC4-5D6E-409C-BE32-E72D297353CC}">
                <c16:uniqueId val="{00000049-B40B-4B19-9790-B6DF4BE52E99}"/>
              </c:ext>
            </c:extLst>
          </c:dPt>
          <c:dPt>
            <c:idx val="74"/>
            <c:marker>
              <c:symbol val="circle"/>
              <c:size val="10"/>
              <c:spPr>
                <a:solidFill>
                  <a:srgbClr val="5B01FF"/>
                </a:solidFill>
                <a:ln w="9525">
                  <a:solidFill>
                    <a:schemeClr val="accent1"/>
                  </a:solidFill>
                </a:ln>
                <a:effectLst/>
              </c:spPr>
            </c:marker>
            <c:bubble3D val="0"/>
            <c:extLst>
              <c:ext xmlns:c16="http://schemas.microsoft.com/office/drawing/2014/chart" uri="{C3380CC4-5D6E-409C-BE32-E72D297353CC}">
                <c16:uniqueId val="{0000004A-B40B-4B19-9790-B6DF4BE52E99}"/>
              </c:ext>
            </c:extLst>
          </c:dPt>
          <c:dPt>
            <c:idx val="75"/>
            <c:marker>
              <c:symbol val="circle"/>
              <c:size val="10"/>
              <c:spPr>
                <a:solidFill>
                  <a:srgbClr val="6701FF"/>
                </a:solidFill>
                <a:ln w="9525">
                  <a:solidFill>
                    <a:schemeClr val="accent1"/>
                  </a:solidFill>
                </a:ln>
                <a:effectLst/>
              </c:spPr>
            </c:marker>
            <c:bubble3D val="0"/>
            <c:extLst>
              <c:ext xmlns:c16="http://schemas.microsoft.com/office/drawing/2014/chart" uri="{C3380CC4-5D6E-409C-BE32-E72D297353CC}">
                <c16:uniqueId val="{0000004B-B40B-4B19-9790-B6DF4BE52E99}"/>
              </c:ext>
            </c:extLst>
          </c:dPt>
          <c:dPt>
            <c:idx val="76"/>
            <c:marker>
              <c:symbol val="circle"/>
              <c:size val="10"/>
              <c:spPr>
                <a:solidFill>
                  <a:srgbClr val="7901FF"/>
                </a:solidFill>
                <a:ln w="9525">
                  <a:solidFill>
                    <a:schemeClr val="accent1"/>
                  </a:solidFill>
                </a:ln>
                <a:effectLst/>
              </c:spPr>
            </c:marker>
            <c:bubble3D val="0"/>
            <c:extLst>
              <c:ext xmlns:c16="http://schemas.microsoft.com/office/drawing/2014/chart" uri="{C3380CC4-5D6E-409C-BE32-E72D297353CC}">
                <c16:uniqueId val="{0000004C-B40B-4B19-9790-B6DF4BE52E99}"/>
              </c:ext>
            </c:extLst>
          </c:dPt>
          <c:dPt>
            <c:idx val="77"/>
            <c:marker>
              <c:symbol val="circle"/>
              <c:size val="10"/>
              <c:spPr>
                <a:solidFill>
                  <a:srgbClr val="8401FF"/>
                </a:solidFill>
                <a:ln w="9525">
                  <a:solidFill>
                    <a:schemeClr val="accent1"/>
                  </a:solidFill>
                </a:ln>
                <a:effectLst/>
              </c:spPr>
            </c:marker>
            <c:bubble3D val="0"/>
            <c:extLst>
              <c:ext xmlns:c16="http://schemas.microsoft.com/office/drawing/2014/chart" uri="{C3380CC4-5D6E-409C-BE32-E72D297353CC}">
                <c16:uniqueId val="{0000004D-B40B-4B19-9790-B6DF4BE52E99}"/>
              </c:ext>
            </c:extLst>
          </c:dPt>
          <c:dPt>
            <c:idx val="78"/>
            <c:marker>
              <c:symbol val="circle"/>
              <c:size val="10"/>
              <c:spPr>
                <a:solidFill>
                  <a:srgbClr val="9601FF"/>
                </a:solidFill>
                <a:ln w="9525">
                  <a:solidFill>
                    <a:schemeClr val="accent1"/>
                  </a:solidFill>
                </a:ln>
                <a:effectLst/>
              </c:spPr>
            </c:marker>
            <c:bubble3D val="0"/>
            <c:extLst>
              <c:ext xmlns:c16="http://schemas.microsoft.com/office/drawing/2014/chart" uri="{C3380CC4-5D6E-409C-BE32-E72D297353CC}">
                <c16:uniqueId val="{0000004E-B40B-4B19-9790-B6DF4BE52E99}"/>
              </c:ext>
            </c:extLst>
          </c:dPt>
          <c:xVal>
            <c:numRef>
              <c:f>Combined!$A$2:$A$80</c:f>
              <c:numCache>
                <c:formatCode>General</c:formatCode>
                <c:ptCount val="79"/>
                <c:pt idx="0">
                  <c:v>19.988536834716797</c:v>
                </c:pt>
                <c:pt idx="1">
                  <c:v>17.447378798191611</c:v>
                </c:pt>
                <c:pt idx="2">
                  <c:v>15.620215698107327</c:v>
                </c:pt>
                <c:pt idx="3">
                  <c:v>14.785112240309878</c:v>
                </c:pt>
                <c:pt idx="4">
                  <c:v>15.389990992717337</c:v>
                </c:pt>
                <c:pt idx="5">
                  <c:v>15.226098545388934</c:v>
                </c:pt>
                <c:pt idx="6">
                  <c:v>14.589895416464751</c:v>
                </c:pt>
                <c:pt idx="7">
                  <c:v>14.74495500503205</c:v>
                </c:pt>
                <c:pt idx="8">
                  <c:v>15.954898710465152</c:v>
                </c:pt>
                <c:pt idx="9">
                  <c:v>17.990780575023816</c:v>
                </c:pt>
                <c:pt idx="10">
                  <c:v>21.409704208374023</c:v>
                </c:pt>
                <c:pt idx="11">
                  <c:v>26.960432848167457</c:v>
                </c:pt>
                <c:pt idx="12">
                  <c:v>31.575491836744039</c:v>
                </c:pt>
                <c:pt idx="13">
                  <c:v>34.148806594067821</c:v>
                </c:pt>
                <c:pt idx="14">
                  <c:v>34.300026529564398</c:v>
                </c:pt>
                <c:pt idx="15">
                  <c:v>35.175398321336885</c:v>
                </c:pt>
                <c:pt idx="16">
                  <c:v>34.046503478516627</c:v>
                </c:pt>
                <c:pt idx="17">
                  <c:v>32.856148584398156</c:v>
                </c:pt>
                <c:pt idx="18">
                  <c:v>28.973149472029213</c:v>
                </c:pt>
                <c:pt idx="19">
                  <c:v>24.542546792087542</c:v>
                </c:pt>
                <c:pt idx="20">
                  <c:v>24.622679963595701</c:v>
                </c:pt>
                <c:pt idx="21">
                  <c:v>24.520280818927532</c:v>
                </c:pt>
                <c:pt idx="22">
                  <c:v>24.755659040425844</c:v>
                </c:pt>
                <c:pt idx="23">
                  <c:v>24.115061543554543</c:v>
                </c:pt>
                <c:pt idx="24">
                  <c:v>23.338956005922093</c:v>
                </c:pt>
                <c:pt idx="25">
                  <c:v>22.292674648434559</c:v>
                </c:pt>
                <c:pt idx="26">
                  <c:v>22.169197546790961</c:v>
                </c:pt>
                <c:pt idx="27">
                  <c:v>22.104014582358687</c:v>
                </c:pt>
                <c:pt idx="28">
                  <c:v>21.632988764152898</c:v>
                </c:pt>
                <c:pt idx="29">
                  <c:v>21.43700293748104</c:v>
                </c:pt>
                <c:pt idx="30">
                  <c:v>21.221893044479934</c:v>
                </c:pt>
                <c:pt idx="31">
                  <c:v>20.83054981877909</c:v>
                </c:pt>
                <c:pt idx="32">
                  <c:v>20.689520855524147</c:v>
                </c:pt>
                <c:pt idx="33">
                  <c:v>21.132386503529549</c:v>
                </c:pt>
                <c:pt idx="34">
                  <c:v>21.308851743899311</c:v>
                </c:pt>
                <c:pt idx="35">
                  <c:v>21.508299024556045</c:v>
                </c:pt>
                <c:pt idx="36">
                  <c:v>21.426874066466205</c:v>
                </c:pt>
                <c:pt idx="37">
                  <c:v>21.366639952184471</c:v>
                </c:pt>
                <c:pt idx="38">
                  <c:v>21.707423228288707</c:v>
                </c:pt>
                <c:pt idx="39">
                  <c:v>22.261109588114827</c:v>
                </c:pt>
                <c:pt idx="40">
                  <c:v>22.260416245328017</c:v>
                </c:pt>
                <c:pt idx="41">
                  <c:v>22.338233746134485</c:v>
                </c:pt>
                <c:pt idx="42">
                  <c:v>22.560068464047028</c:v>
                </c:pt>
                <c:pt idx="43">
                  <c:v>22.877085546911371</c:v>
                </c:pt>
                <c:pt idx="44">
                  <c:v>23.234343879444893</c:v>
                </c:pt>
                <c:pt idx="45">
                  <c:v>23.770561698596829</c:v>
                </c:pt>
                <c:pt idx="46">
                  <c:v>23.827803757812049</c:v>
                </c:pt>
                <c:pt idx="47">
                  <c:v>23.586723306680597</c:v>
                </c:pt>
                <c:pt idx="48">
                  <c:v>23.733148483215786</c:v>
                </c:pt>
                <c:pt idx="49">
                  <c:v>23.979730086782489</c:v>
                </c:pt>
                <c:pt idx="50">
                  <c:v>24.324438684983111</c:v>
                </c:pt>
                <c:pt idx="51">
                  <c:v>24.485675123240469</c:v>
                </c:pt>
                <c:pt idx="52">
                  <c:v>24.470009363861553</c:v>
                </c:pt>
                <c:pt idx="53">
                  <c:v>24.459896726036284</c:v>
                </c:pt>
                <c:pt idx="54">
                  <c:v>24.455093359098058</c:v>
                </c:pt>
                <c:pt idx="55">
                  <c:v>24.431491683755802</c:v>
                </c:pt>
                <c:pt idx="56">
                  <c:v>24.527976327045906</c:v>
                </c:pt>
                <c:pt idx="57">
                  <c:v>24.537021062231823</c:v>
                </c:pt>
                <c:pt idx="58">
                  <c:v>24.137546054258323</c:v>
                </c:pt>
                <c:pt idx="59">
                  <c:v>23.7592091449776</c:v>
                </c:pt>
                <c:pt idx="60">
                  <c:v>23.330603877551383</c:v>
                </c:pt>
                <c:pt idx="61">
                  <c:v>22.88185309911043</c:v>
                </c:pt>
                <c:pt idx="62">
                  <c:v>22.513493207502627</c:v>
                </c:pt>
                <c:pt idx="63">
                  <c:v>22.156281667465542</c:v>
                </c:pt>
                <c:pt idx="64">
                  <c:v>21.9669995231333</c:v>
                </c:pt>
                <c:pt idx="65">
                  <c:v>22.012416112600445</c:v>
                </c:pt>
                <c:pt idx="66">
                  <c:v>21.443783146281937</c:v>
                </c:pt>
                <c:pt idx="67">
                  <c:v>21.032719461005691</c:v>
                </c:pt>
                <c:pt idx="68">
                  <c:v>20.953242519246814</c:v>
                </c:pt>
                <c:pt idx="69">
                  <c:v>20.87152035477866</c:v>
                </c:pt>
                <c:pt idx="70">
                  <c:v>20.717899333551085</c:v>
                </c:pt>
                <c:pt idx="71">
                  <c:v>21.247753409758843</c:v>
                </c:pt>
                <c:pt idx="72">
                  <c:v>21.227797044109252</c:v>
                </c:pt>
                <c:pt idx="73">
                  <c:v>21.306296675203484</c:v>
                </c:pt>
                <c:pt idx="74">
                  <c:v>21.365552349383794</c:v>
                </c:pt>
                <c:pt idx="75">
                  <c:v>21.489923790194066</c:v>
                </c:pt>
                <c:pt idx="76">
                  <c:v>21.365248985762349</c:v>
                </c:pt>
                <c:pt idx="77">
                  <c:v>21.371526454211839</c:v>
                </c:pt>
                <c:pt idx="78">
                  <c:v>21.353885388571918</c:v>
                </c:pt>
              </c:numCache>
            </c:numRef>
          </c:xVal>
          <c:yVal>
            <c:numRef>
              <c:f>Combined!$B$2:$B$80</c:f>
              <c:numCache>
                <c:formatCode>General</c:formatCode>
                <c:ptCount val="79"/>
                <c:pt idx="0">
                  <c:v>34.088539123535156</c:v>
                </c:pt>
                <c:pt idx="1">
                  <c:v>31.851467794587027</c:v>
                </c:pt>
                <c:pt idx="2">
                  <c:v>28.467178932877331</c:v>
                </c:pt>
                <c:pt idx="3">
                  <c:v>24.24344574432326</c:v>
                </c:pt>
                <c:pt idx="4">
                  <c:v>20.339242902651513</c:v>
                </c:pt>
                <c:pt idx="5">
                  <c:v>16.984474528309125</c:v>
                </c:pt>
                <c:pt idx="6">
                  <c:v>13.747956596199705</c:v>
                </c:pt>
                <c:pt idx="7">
                  <c:v>10.308883520962301</c:v>
                </c:pt>
                <c:pt idx="8">
                  <c:v>6.5361504225058846</c:v>
                </c:pt>
                <c:pt idx="9">
                  <c:v>3.5410873638604485</c:v>
                </c:pt>
                <c:pt idx="10">
                  <c:v>1.5707168579101563</c:v>
                </c:pt>
                <c:pt idx="11">
                  <c:v>2.3255512058347465</c:v>
                </c:pt>
                <c:pt idx="12">
                  <c:v>5.6972256201529046</c:v>
                </c:pt>
                <c:pt idx="13">
                  <c:v>10.133953021715399</c:v>
                </c:pt>
                <c:pt idx="14">
                  <c:v>15.344019948801691</c:v>
                </c:pt>
                <c:pt idx="15">
                  <c:v>20.225982075776543</c:v>
                </c:pt>
                <c:pt idx="16">
                  <c:v>25.072938550499821</c:v>
                </c:pt>
                <c:pt idx="17">
                  <c:v>29.845343476201815</c:v>
                </c:pt>
                <c:pt idx="18">
                  <c:v>33.398653118411595</c:v>
                </c:pt>
                <c:pt idx="19">
                  <c:v>35.474393995158721</c:v>
                </c:pt>
                <c:pt idx="20">
                  <c:v>36.066009846335994</c:v>
                </c:pt>
                <c:pt idx="21">
                  <c:v>35.769831138590391</c:v>
                </c:pt>
                <c:pt idx="22">
                  <c:v>35.455259005363949</c:v>
                </c:pt>
                <c:pt idx="23">
                  <c:v>35.842902262971393</c:v>
                </c:pt>
                <c:pt idx="24">
                  <c:v>36.035257700619155</c:v>
                </c:pt>
                <c:pt idx="25">
                  <c:v>35.084950943240329</c:v>
                </c:pt>
                <c:pt idx="26">
                  <c:v>33.378611341479697</c:v>
                </c:pt>
                <c:pt idx="27">
                  <c:v>33.019930724955231</c:v>
                </c:pt>
                <c:pt idx="28">
                  <c:v>32.703363327870534</c:v>
                </c:pt>
                <c:pt idx="29">
                  <c:v>33.009514030971381</c:v>
                </c:pt>
                <c:pt idx="30">
                  <c:v>33.172868291123009</c:v>
                </c:pt>
                <c:pt idx="31">
                  <c:v>33.009164930844605</c:v>
                </c:pt>
                <c:pt idx="32">
                  <c:v>31.671674236173779</c:v>
                </c:pt>
                <c:pt idx="33">
                  <c:v>29.81195333245698</c:v>
                </c:pt>
                <c:pt idx="34">
                  <c:v>29.166658886920537</c:v>
                </c:pt>
                <c:pt idx="35">
                  <c:v>28.957065170731589</c:v>
                </c:pt>
                <c:pt idx="36">
                  <c:v>29.095776982823249</c:v>
                </c:pt>
                <c:pt idx="37">
                  <c:v>28.983306572954454</c:v>
                </c:pt>
                <c:pt idx="38">
                  <c:v>28.015570128907889</c:v>
                </c:pt>
                <c:pt idx="39">
                  <c:v>26.465455704072674</c:v>
                </c:pt>
                <c:pt idx="40">
                  <c:v>25.269959452668687</c:v>
                </c:pt>
                <c:pt idx="41">
                  <c:v>24.475606931421474</c:v>
                </c:pt>
                <c:pt idx="42">
                  <c:v>23.929804370640937</c:v>
                </c:pt>
                <c:pt idx="43">
                  <c:v>23.273358185100172</c:v>
                </c:pt>
                <c:pt idx="44">
                  <c:v>22.312022549317874</c:v>
                </c:pt>
                <c:pt idx="45">
                  <c:v>20.781194662768701</c:v>
                </c:pt>
                <c:pt idx="46">
                  <c:v>19.471988305806214</c:v>
                </c:pt>
                <c:pt idx="47">
                  <c:v>18.209293623592014</c:v>
                </c:pt>
                <c:pt idx="48">
                  <c:v>16.771468846886783</c:v>
                </c:pt>
                <c:pt idx="49">
                  <c:v>15.41163652554642</c:v>
                </c:pt>
                <c:pt idx="50">
                  <c:v>13.926574916793129</c:v>
                </c:pt>
                <c:pt idx="51">
                  <c:v>12.639401621222433</c:v>
                </c:pt>
                <c:pt idx="52">
                  <c:v>12.055224414464671</c:v>
                </c:pt>
                <c:pt idx="53">
                  <c:v>11.498271423652163</c:v>
                </c:pt>
                <c:pt idx="54">
                  <c:v>10.919588672697003</c:v>
                </c:pt>
                <c:pt idx="55">
                  <c:v>10.366821063921238</c:v>
                </c:pt>
                <c:pt idx="56">
                  <c:v>10.07033110047027</c:v>
                </c:pt>
                <c:pt idx="57">
                  <c:v>9.507766595674541</c:v>
                </c:pt>
                <c:pt idx="58">
                  <c:v>7.9115093816551783</c:v>
                </c:pt>
                <c:pt idx="59">
                  <c:v>6.2274817200143433</c:v>
                </c:pt>
                <c:pt idx="60">
                  <c:v>5.5549839642138084</c:v>
                </c:pt>
                <c:pt idx="61">
                  <c:v>5.3383861110726079</c:v>
                </c:pt>
                <c:pt idx="62">
                  <c:v>5.5426804467216755</c:v>
                </c:pt>
                <c:pt idx="63">
                  <c:v>5.7573099561464902</c:v>
                </c:pt>
                <c:pt idx="64">
                  <c:v>4.5927911535113113</c:v>
                </c:pt>
                <c:pt idx="65">
                  <c:v>2.6961320049633604</c:v>
                </c:pt>
                <c:pt idx="66">
                  <c:v>2.0658487960736966</c:v>
                </c:pt>
                <c:pt idx="67">
                  <c:v>2.2888603001480385</c:v>
                </c:pt>
                <c:pt idx="68">
                  <c:v>2.4152321069723883</c:v>
                </c:pt>
                <c:pt idx="69">
                  <c:v>2.8764098447741135</c:v>
                </c:pt>
                <c:pt idx="70">
                  <c:v>2.4381174196466806</c:v>
                </c:pt>
                <c:pt idx="71">
                  <c:v>0.59858382331426707</c:v>
                </c:pt>
                <c:pt idx="72">
                  <c:v>-0.28505860706214498</c:v>
                </c:pt>
                <c:pt idx="73">
                  <c:v>0.16014042678031171</c:v>
                </c:pt>
                <c:pt idx="74">
                  <c:v>0.62730645024697362</c:v>
                </c:pt>
                <c:pt idx="75">
                  <c:v>0.97797817764509531</c:v>
                </c:pt>
                <c:pt idx="76">
                  <c:v>-0.22407835097434539</c:v>
                </c:pt>
                <c:pt idx="77">
                  <c:v>0.37386210053711921</c:v>
                </c:pt>
                <c:pt idx="78">
                  <c:v>1.1489184395648879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13-07A9-4FBE-AC9B-F41407005A37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392344304"/>
        <c:axId val="392341424"/>
      </c:scatterChart>
      <c:valAx>
        <c:axId val="392344304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392341424"/>
        <c:crosses val="autoZero"/>
        <c:crossBetween val="midCat"/>
      </c:valAx>
      <c:valAx>
        <c:axId val="39234142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0" spcFirstLastPara="1" vertOverflow="ellipsis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392344304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8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scatterChart>
        <c:scatterStyle val="smoothMarker"/>
        <c:varyColors val="0"/>
        <c:ser>
          <c:idx val="0"/>
          <c:order val="0"/>
          <c:tx>
            <c:strRef>
              <c:f>Combined!$C$1</c:f>
              <c:strCache>
                <c:ptCount val="1"/>
                <c:pt idx="0">
                  <c:v>Z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10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dPt>
            <c:idx val="0"/>
            <c:marker>
              <c:symbol val="circle"/>
              <c:size val="10"/>
              <c:spPr>
                <a:solidFill>
                  <a:srgbClr val="FF0101"/>
                </a:solidFill>
                <a:ln w="9525">
                  <a:solidFill>
                    <a:schemeClr val="accent1"/>
                  </a:solidFill>
                </a:ln>
                <a:effectLst/>
              </c:spPr>
            </c:marker>
            <c:bubble3D val="0"/>
            <c:extLst>
              <c:ext xmlns:c16="http://schemas.microsoft.com/office/drawing/2014/chart" uri="{C3380CC4-5D6E-409C-BE32-E72D297353CC}">
                <c16:uniqueId val="{00000000-DAD1-4E96-A8DD-66615EDD7872}"/>
              </c:ext>
            </c:extLst>
          </c:dPt>
          <c:dPt>
            <c:idx val="1"/>
            <c:marker>
              <c:symbol val="circle"/>
              <c:size val="10"/>
              <c:spPr>
                <a:solidFill>
                  <a:srgbClr val="FF0D01"/>
                </a:solidFill>
                <a:ln w="9525">
                  <a:solidFill>
                    <a:schemeClr val="accent1"/>
                  </a:solidFill>
                </a:ln>
                <a:effectLst/>
              </c:spPr>
            </c:marker>
            <c:bubble3D val="0"/>
            <c:extLst>
              <c:ext xmlns:c16="http://schemas.microsoft.com/office/drawing/2014/chart" uri="{C3380CC4-5D6E-409C-BE32-E72D297353CC}">
                <c16:uniqueId val="{00000001-DAD1-4E96-A8DD-66615EDD7872}"/>
              </c:ext>
            </c:extLst>
          </c:dPt>
          <c:dPt>
            <c:idx val="2"/>
            <c:marker>
              <c:symbol val="circle"/>
              <c:size val="10"/>
              <c:spPr>
                <a:solidFill>
                  <a:srgbClr val="FF1F01"/>
                </a:solidFill>
                <a:ln w="9525">
                  <a:solidFill>
                    <a:schemeClr val="accent1"/>
                  </a:solidFill>
                </a:ln>
                <a:effectLst/>
              </c:spPr>
            </c:marker>
            <c:bubble3D val="0"/>
            <c:extLst>
              <c:ext xmlns:c16="http://schemas.microsoft.com/office/drawing/2014/chart" uri="{C3380CC4-5D6E-409C-BE32-E72D297353CC}">
                <c16:uniqueId val="{00000002-DAD1-4E96-A8DD-66615EDD7872}"/>
              </c:ext>
            </c:extLst>
          </c:dPt>
          <c:dPt>
            <c:idx val="3"/>
            <c:marker>
              <c:symbol val="circle"/>
              <c:size val="10"/>
              <c:spPr>
                <a:solidFill>
                  <a:srgbClr val="FF2B01"/>
                </a:solidFill>
                <a:ln w="9525">
                  <a:solidFill>
                    <a:schemeClr val="accent1"/>
                  </a:solidFill>
                </a:ln>
                <a:effectLst/>
              </c:spPr>
            </c:marker>
            <c:bubble3D val="0"/>
            <c:extLst>
              <c:ext xmlns:c16="http://schemas.microsoft.com/office/drawing/2014/chart" uri="{C3380CC4-5D6E-409C-BE32-E72D297353CC}">
                <c16:uniqueId val="{00000003-DAD1-4E96-A8DD-66615EDD7872}"/>
              </c:ext>
            </c:extLst>
          </c:dPt>
          <c:dPt>
            <c:idx val="4"/>
            <c:marker>
              <c:symbol val="circle"/>
              <c:size val="10"/>
              <c:spPr>
                <a:solidFill>
                  <a:srgbClr val="FF3D01"/>
                </a:solidFill>
                <a:ln w="9525">
                  <a:solidFill>
                    <a:schemeClr val="accent1"/>
                  </a:solidFill>
                </a:ln>
                <a:effectLst/>
              </c:spPr>
            </c:marker>
            <c:bubble3D val="0"/>
            <c:extLst>
              <c:ext xmlns:c16="http://schemas.microsoft.com/office/drawing/2014/chart" uri="{C3380CC4-5D6E-409C-BE32-E72D297353CC}">
                <c16:uniqueId val="{00000004-DAD1-4E96-A8DD-66615EDD7872}"/>
              </c:ext>
            </c:extLst>
          </c:dPt>
          <c:dPt>
            <c:idx val="5"/>
            <c:marker>
              <c:symbol val="circle"/>
              <c:size val="10"/>
              <c:spPr>
                <a:solidFill>
                  <a:srgbClr val="FF4901"/>
                </a:solidFill>
                <a:ln w="9525">
                  <a:solidFill>
                    <a:schemeClr val="accent1"/>
                  </a:solidFill>
                </a:ln>
                <a:effectLst/>
              </c:spPr>
            </c:marker>
            <c:bubble3D val="0"/>
            <c:extLst>
              <c:ext xmlns:c16="http://schemas.microsoft.com/office/drawing/2014/chart" uri="{C3380CC4-5D6E-409C-BE32-E72D297353CC}">
                <c16:uniqueId val="{00000005-DAD1-4E96-A8DD-66615EDD7872}"/>
              </c:ext>
            </c:extLst>
          </c:dPt>
          <c:dPt>
            <c:idx val="6"/>
            <c:marker>
              <c:symbol val="circle"/>
              <c:size val="10"/>
              <c:spPr>
                <a:solidFill>
                  <a:srgbClr val="FF5B01"/>
                </a:solidFill>
                <a:ln w="9525">
                  <a:solidFill>
                    <a:schemeClr val="accent1"/>
                  </a:solidFill>
                </a:ln>
                <a:effectLst/>
              </c:spPr>
            </c:marker>
            <c:bubble3D val="0"/>
            <c:extLst>
              <c:ext xmlns:c16="http://schemas.microsoft.com/office/drawing/2014/chart" uri="{C3380CC4-5D6E-409C-BE32-E72D297353CC}">
                <c16:uniqueId val="{00000006-DAD1-4E96-A8DD-66615EDD7872}"/>
              </c:ext>
            </c:extLst>
          </c:dPt>
          <c:dPt>
            <c:idx val="7"/>
            <c:marker>
              <c:symbol val="circle"/>
              <c:size val="10"/>
              <c:spPr>
                <a:solidFill>
                  <a:srgbClr val="FF6701"/>
                </a:solidFill>
                <a:ln w="9525">
                  <a:solidFill>
                    <a:schemeClr val="accent1"/>
                  </a:solidFill>
                </a:ln>
                <a:effectLst/>
              </c:spPr>
            </c:marker>
            <c:bubble3D val="0"/>
            <c:extLst>
              <c:ext xmlns:c16="http://schemas.microsoft.com/office/drawing/2014/chart" uri="{C3380CC4-5D6E-409C-BE32-E72D297353CC}">
                <c16:uniqueId val="{00000007-DAD1-4E96-A8DD-66615EDD7872}"/>
              </c:ext>
            </c:extLst>
          </c:dPt>
          <c:dPt>
            <c:idx val="8"/>
            <c:marker>
              <c:symbol val="circle"/>
              <c:size val="10"/>
              <c:spPr>
                <a:solidFill>
                  <a:srgbClr val="FF7901"/>
                </a:solidFill>
                <a:ln w="9525">
                  <a:solidFill>
                    <a:schemeClr val="accent1"/>
                  </a:solidFill>
                </a:ln>
                <a:effectLst/>
              </c:spPr>
            </c:marker>
            <c:bubble3D val="0"/>
            <c:extLst>
              <c:ext xmlns:c16="http://schemas.microsoft.com/office/drawing/2014/chart" uri="{C3380CC4-5D6E-409C-BE32-E72D297353CC}">
                <c16:uniqueId val="{00000008-DAD1-4E96-A8DD-66615EDD7872}"/>
              </c:ext>
            </c:extLst>
          </c:dPt>
          <c:dPt>
            <c:idx val="9"/>
            <c:marker>
              <c:symbol val="circle"/>
              <c:size val="10"/>
              <c:spPr>
                <a:solidFill>
                  <a:srgbClr val="FF8401"/>
                </a:solidFill>
                <a:ln w="9525">
                  <a:solidFill>
                    <a:schemeClr val="accent1"/>
                  </a:solidFill>
                </a:ln>
                <a:effectLst/>
              </c:spPr>
            </c:marker>
            <c:bubble3D val="0"/>
            <c:extLst>
              <c:ext xmlns:c16="http://schemas.microsoft.com/office/drawing/2014/chart" uri="{C3380CC4-5D6E-409C-BE32-E72D297353CC}">
                <c16:uniqueId val="{00000009-DAD1-4E96-A8DD-66615EDD7872}"/>
              </c:ext>
            </c:extLst>
          </c:dPt>
          <c:dPt>
            <c:idx val="10"/>
            <c:marker>
              <c:symbol val="circle"/>
              <c:size val="10"/>
              <c:spPr>
                <a:solidFill>
                  <a:srgbClr val="FF9601"/>
                </a:solidFill>
                <a:ln w="9525">
                  <a:solidFill>
                    <a:schemeClr val="accent1"/>
                  </a:solidFill>
                </a:ln>
                <a:effectLst/>
              </c:spPr>
            </c:marker>
            <c:bubble3D val="0"/>
            <c:extLst>
              <c:ext xmlns:c16="http://schemas.microsoft.com/office/drawing/2014/chart" uri="{C3380CC4-5D6E-409C-BE32-E72D297353CC}">
                <c16:uniqueId val="{0000000A-DAD1-4E96-A8DD-66615EDD7872}"/>
              </c:ext>
            </c:extLst>
          </c:dPt>
          <c:dPt>
            <c:idx val="11"/>
            <c:marker>
              <c:symbol val="circle"/>
              <c:size val="10"/>
              <c:spPr>
                <a:solidFill>
                  <a:srgbClr val="FFA201"/>
                </a:solidFill>
                <a:ln w="9525">
                  <a:solidFill>
                    <a:schemeClr val="accent1"/>
                  </a:solidFill>
                </a:ln>
                <a:effectLst/>
              </c:spPr>
            </c:marker>
            <c:bubble3D val="0"/>
            <c:extLst>
              <c:ext xmlns:c16="http://schemas.microsoft.com/office/drawing/2014/chart" uri="{C3380CC4-5D6E-409C-BE32-E72D297353CC}">
                <c16:uniqueId val="{0000000B-DAD1-4E96-A8DD-66615EDD7872}"/>
              </c:ext>
            </c:extLst>
          </c:dPt>
          <c:dPt>
            <c:idx val="12"/>
            <c:marker>
              <c:symbol val="circle"/>
              <c:size val="10"/>
              <c:spPr>
                <a:solidFill>
                  <a:srgbClr val="FFB401"/>
                </a:solidFill>
                <a:ln w="9525">
                  <a:solidFill>
                    <a:schemeClr val="accent1"/>
                  </a:solidFill>
                </a:ln>
                <a:effectLst/>
              </c:spPr>
            </c:marker>
            <c:bubble3D val="0"/>
            <c:extLst>
              <c:ext xmlns:c16="http://schemas.microsoft.com/office/drawing/2014/chart" uri="{C3380CC4-5D6E-409C-BE32-E72D297353CC}">
                <c16:uniqueId val="{0000000C-DAD1-4E96-A8DD-66615EDD7872}"/>
              </c:ext>
            </c:extLst>
          </c:dPt>
          <c:dPt>
            <c:idx val="13"/>
            <c:marker>
              <c:symbol val="circle"/>
              <c:size val="10"/>
              <c:spPr>
                <a:solidFill>
                  <a:srgbClr val="FFC001"/>
                </a:solidFill>
                <a:ln w="9525">
                  <a:solidFill>
                    <a:schemeClr val="accent1"/>
                  </a:solidFill>
                </a:ln>
                <a:effectLst/>
              </c:spPr>
            </c:marker>
            <c:bubble3D val="0"/>
            <c:extLst>
              <c:ext xmlns:c16="http://schemas.microsoft.com/office/drawing/2014/chart" uri="{C3380CC4-5D6E-409C-BE32-E72D297353CC}">
                <c16:uniqueId val="{0000000D-DAD1-4E96-A8DD-66615EDD7872}"/>
              </c:ext>
            </c:extLst>
          </c:dPt>
          <c:dPt>
            <c:idx val="14"/>
            <c:marker>
              <c:symbol val="circle"/>
              <c:size val="10"/>
              <c:spPr>
                <a:solidFill>
                  <a:srgbClr val="FFD201"/>
                </a:solidFill>
                <a:ln w="9525">
                  <a:solidFill>
                    <a:schemeClr val="accent1"/>
                  </a:solidFill>
                </a:ln>
                <a:effectLst/>
              </c:spPr>
            </c:marker>
            <c:bubble3D val="0"/>
            <c:extLst>
              <c:ext xmlns:c16="http://schemas.microsoft.com/office/drawing/2014/chart" uri="{C3380CC4-5D6E-409C-BE32-E72D297353CC}">
                <c16:uniqueId val="{0000000E-DAD1-4E96-A8DD-66615EDD7872}"/>
              </c:ext>
            </c:extLst>
          </c:dPt>
          <c:dPt>
            <c:idx val="15"/>
            <c:marker>
              <c:symbol val="circle"/>
              <c:size val="10"/>
              <c:spPr>
                <a:solidFill>
                  <a:srgbClr val="FFDE01"/>
                </a:solidFill>
                <a:ln w="9525">
                  <a:solidFill>
                    <a:schemeClr val="accent1"/>
                  </a:solidFill>
                </a:ln>
                <a:effectLst/>
              </c:spPr>
            </c:marker>
            <c:bubble3D val="0"/>
            <c:extLst>
              <c:ext xmlns:c16="http://schemas.microsoft.com/office/drawing/2014/chart" uri="{C3380CC4-5D6E-409C-BE32-E72D297353CC}">
                <c16:uniqueId val="{0000000F-DAD1-4E96-A8DD-66615EDD7872}"/>
              </c:ext>
            </c:extLst>
          </c:dPt>
          <c:dPt>
            <c:idx val="16"/>
            <c:marker>
              <c:symbol val="circle"/>
              <c:size val="10"/>
              <c:spPr>
                <a:solidFill>
                  <a:srgbClr val="FFF001"/>
                </a:solidFill>
                <a:ln w="9525">
                  <a:solidFill>
                    <a:schemeClr val="accent1"/>
                  </a:solidFill>
                </a:ln>
                <a:effectLst/>
              </c:spPr>
            </c:marker>
            <c:bubble3D val="0"/>
            <c:extLst>
              <c:ext xmlns:c16="http://schemas.microsoft.com/office/drawing/2014/chart" uri="{C3380CC4-5D6E-409C-BE32-E72D297353CC}">
                <c16:uniqueId val="{00000010-DAD1-4E96-A8DD-66615EDD7872}"/>
              </c:ext>
            </c:extLst>
          </c:dPt>
          <c:dPt>
            <c:idx val="17"/>
            <c:marker>
              <c:symbol val="circle"/>
              <c:size val="10"/>
              <c:spPr>
                <a:solidFill>
                  <a:srgbClr val="FFFC01"/>
                </a:solidFill>
                <a:ln w="9525">
                  <a:solidFill>
                    <a:schemeClr val="accent1"/>
                  </a:solidFill>
                </a:ln>
                <a:effectLst/>
              </c:spPr>
            </c:marker>
            <c:bubble3D val="0"/>
            <c:extLst>
              <c:ext xmlns:c16="http://schemas.microsoft.com/office/drawing/2014/chart" uri="{C3380CC4-5D6E-409C-BE32-E72D297353CC}">
                <c16:uniqueId val="{00000011-DAD1-4E96-A8DD-66615EDD7872}"/>
              </c:ext>
            </c:extLst>
          </c:dPt>
          <c:dPt>
            <c:idx val="18"/>
            <c:marker>
              <c:symbol val="circle"/>
              <c:size val="10"/>
              <c:spPr>
                <a:solidFill>
                  <a:srgbClr val="F0FF01"/>
                </a:solidFill>
                <a:ln w="9525">
                  <a:solidFill>
                    <a:schemeClr val="accent1"/>
                  </a:solidFill>
                </a:ln>
                <a:effectLst/>
              </c:spPr>
            </c:marker>
            <c:bubble3D val="0"/>
            <c:extLst>
              <c:ext xmlns:c16="http://schemas.microsoft.com/office/drawing/2014/chart" uri="{C3380CC4-5D6E-409C-BE32-E72D297353CC}">
                <c16:uniqueId val="{00000012-DAD1-4E96-A8DD-66615EDD7872}"/>
              </c:ext>
            </c:extLst>
          </c:dPt>
          <c:dPt>
            <c:idx val="19"/>
            <c:marker>
              <c:symbol val="circle"/>
              <c:size val="10"/>
              <c:spPr>
                <a:solidFill>
                  <a:srgbClr val="E4FF01"/>
                </a:solidFill>
                <a:ln w="9525">
                  <a:solidFill>
                    <a:schemeClr val="accent1"/>
                  </a:solidFill>
                </a:ln>
                <a:effectLst/>
              </c:spPr>
            </c:marker>
            <c:bubble3D val="0"/>
            <c:extLst>
              <c:ext xmlns:c16="http://schemas.microsoft.com/office/drawing/2014/chart" uri="{C3380CC4-5D6E-409C-BE32-E72D297353CC}">
                <c16:uniqueId val="{00000014-DAD1-4E96-A8DD-66615EDD7872}"/>
              </c:ext>
            </c:extLst>
          </c:dPt>
          <c:dPt>
            <c:idx val="20"/>
            <c:marker>
              <c:symbol val="circle"/>
              <c:size val="10"/>
              <c:spPr>
                <a:solidFill>
                  <a:srgbClr val="D2FF01"/>
                </a:solidFill>
                <a:ln w="9525">
                  <a:solidFill>
                    <a:schemeClr val="accent1"/>
                  </a:solidFill>
                </a:ln>
                <a:effectLst/>
              </c:spPr>
            </c:marker>
            <c:bubble3D val="0"/>
            <c:extLst>
              <c:ext xmlns:c16="http://schemas.microsoft.com/office/drawing/2014/chart" uri="{C3380CC4-5D6E-409C-BE32-E72D297353CC}">
                <c16:uniqueId val="{00000015-DAD1-4E96-A8DD-66615EDD7872}"/>
              </c:ext>
            </c:extLst>
          </c:dPt>
          <c:dPt>
            <c:idx val="21"/>
            <c:marker>
              <c:symbol val="circle"/>
              <c:size val="10"/>
              <c:spPr>
                <a:solidFill>
                  <a:srgbClr val="C6FF01"/>
                </a:solidFill>
                <a:ln w="9525">
                  <a:solidFill>
                    <a:schemeClr val="accent1"/>
                  </a:solidFill>
                </a:ln>
                <a:effectLst/>
              </c:spPr>
            </c:marker>
            <c:bubble3D val="0"/>
            <c:extLst>
              <c:ext xmlns:c16="http://schemas.microsoft.com/office/drawing/2014/chart" uri="{C3380CC4-5D6E-409C-BE32-E72D297353CC}">
                <c16:uniqueId val="{00000016-DAD1-4E96-A8DD-66615EDD7872}"/>
              </c:ext>
            </c:extLst>
          </c:dPt>
          <c:dPt>
            <c:idx val="22"/>
            <c:marker>
              <c:symbol val="circle"/>
              <c:size val="10"/>
              <c:spPr>
                <a:solidFill>
                  <a:srgbClr val="B4FF01"/>
                </a:solidFill>
                <a:ln w="9525">
                  <a:solidFill>
                    <a:schemeClr val="accent1"/>
                  </a:solidFill>
                </a:ln>
                <a:effectLst/>
              </c:spPr>
            </c:marker>
            <c:bubble3D val="0"/>
            <c:extLst>
              <c:ext xmlns:c16="http://schemas.microsoft.com/office/drawing/2014/chart" uri="{C3380CC4-5D6E-409C-BE32-E72D297353CC}">
                <c16:uniqueId val="{00000017-DAD1-4E96-A8DD-66615EDD7872}"/>
              </c:ext>
            </c:extLst>
          </c:dPt>
          <c:dPt>
            <c:idx val="23"/>
            <c:marker>
              <c:symbol val="circle"/>
              <c:size val="10"/>
              <c:spPr>
                <a:solidFill>
                  <a:srgbClr val="A8FF01"/>
                </a:solidFill>
                <a:ln w="9525">
                  <a:solidFill>
                    <a:schemeClr val="accent1"/>
                  </a:solidFill>
                </a:ln>
                <a:effectLst/>
              </c:spPr>
            </c:marker>
            <c:bubble3D val="0"/>
            <c:extLst>
              <c:ext xmlns:c16="http://schemas.microsoft.com/office/drawing/2014/chart" uri="{C3380CC4-5D6E-409C-BE32-E72D297353CC}">
                <c16:uniqueId val="{00000018-DAD1-4E96-A8DD-66615EDD7872}"/>
              </c:ext>
            </c:extLst>
          </c:dPt>
          <c:dPt>
            <c:idx val="24"/>
            <c:marker>
              <c:symbol val="circle"/>
              <c:size val="10"/>
              <c:spPr>
                <a:solidFill>
                  <a:srgbClr val="96FF01"/>
                </a:solidFill>
                <a:ln w="9525">
                  <a:solidFill>
                    <a:schemeClr val="accent1"/>
                  </a:solidFill>
                </a:ln>
                <a:effectLst/>
              </c:spPr>
            </c:marker>
            <c:bubble3D val="0"/>
            <c:extLst>
              <c:ext xmlns:c16="http://schemas.microsoft.com/office/drawing/2014/chart" uri="{C3380CC4-5D6E-409C-BE32-E72D297353CC}">
                <c16:uniqueId val="{00000019-DAD1-4E96-A8DD-66615EDD7872}"/>
              </c:ext>
            </c:extLst>
          </c:dPt>
          <c:dPt>
            <c:idx val="25"/>
            <c:marker>
              <c:symbol val="circle"/>
              <c:size val="10"/>
              <c:spPr>
                <a:solidFill>
                  <a:srgbClr val="8AFF01"/>
                </a:solidFill>
                <a:ln w="9525">
                  <a:solidFill>
                    <a:schemeClr val="accent1"/>
                  </a:solidFill>
                </a:ln>
                <a:effectLst/>
              </c:spPr>
            </c:marker>
            <c:bubble3D val="0"/>
            <c:extLst>
              <c:ext xmlns:c16="http://schemas.microsoft.com/office/drawing/2014/chart" uri="{C3380CC4-5D6E-409C-BE32-E72D297353CC}">
                <c16:uniqueId val="{0000001A-DAD1-4E96-A8DD-66615EDD7872}"/>
              </c:ext>
            </c:extLst>
          </c:dPt>
          <c:dPt>
            <c:idx val="26"/>
            <c:marker>
              <c:symbol val="circle"/>
              <c:size val="10"/>
              <c:spPr>
                <a:solidFill>
                  <a:srgbClr val="79FF01"/>
                </a:solidFill>
                <a:ln w="9525">
                  <a:solidFill>
                    <a:schemeClr val="accent1"/>
                  </a:solidFill>
                </a:ln>
                <a:effectLst/>
              </c:spPr>
            </c:marker>
            <c:bubble3D val="0"/>
            <c:extLst>
              <c:ext xmlns:c16="http://schemas.microsoft.com/office/drawing/2014/chart" uri="{C3380CC4-5D6E-409C-BE32-E72D297353CC}">
                <c16:uniqueId val="{0000001B-DAD1-4E96-A8DD-66615EDD7872}"/>
              </c:ext>
            </c:extLst>
          </c:dPt>
          <c:dPt>
            <c:idx val="27"/>
            <c:marker>
              <c:symbol val="circle"/>
              <c:size val="10"/>
              <c:spPr>
                <a:solidFill>
                  <a:srgbClr val="6DFF01"/>
                </a:solidFill>
                <a:ln w="9525">
                  <a:solidFill>
                    <a:schemeClr val="accent1"/>
                  </a:solidFill>
                </a:ln>
                <a:effectLst/>
              </c:spPr>
            </c:marker>
            <c:bubble3D val="0"/>
            <c:extLst>
              <c:ext xmlns:c16="http://schemas.microsoft.com/office/drawing/2014/chart" uri="{C3380CC4-5D6E-409C-BE32-E72D297353CC}">
                <c16:uniqueId val="{0000001C-DAD1-4E96-A8DD-66615EDD7872}"/>
              </c:ext>
            </c:extLst>
          </c:dPt>
          <c:dPt>
            <c:idx val="28"/>
            <c:marker>
              <c:symbol val="circle"/>
              <c:size val="10"/>
              <c:spPr>
                <a:solidFill>
                  <a:srgbClr val="5BFF01"/>
                </a:solidFill>
                <a:ln w="9525">
                  <a:solidFill>
                    <a:schemeClr val="accent1"/>
                  </a:solidFill>
                </a:ln>
                <a:effectLst/>
              </c:spPr>
            </c:marker>
            <c:bubble3D val="0"/>
            <c:extLst>
              <c:ext xmlns:c16="http://schemas.microsoft.com/office/drawing/2014/chart" uri="{C3380CC4-5D6E-409C-BE32-E72D297353CC}">
                <c16:uniqueId val="{0000001D-DAD1-4E96-A8DD-66615EDD7872}"/>
              </c:ext>
            </c:extLst>
          </c:dPt>
          <c:dPt>
            <c:idx val="29"/>
            <c:marker>
              <c:symbol val="circle"/>
              <c:size val="10"/>
              <c:spPr>
                <a:solidFill>
                  <a:srgbClr val="4FFF01"/>
                </a:solidFill>
                <a:ln w="9525">
                  <a:solidFill>
                    <a:schemeClr val="accent1"/>
                  </a:solidFill>
                </a:ln>
                <a:effectLst/>
              </c:spPr>
            </c:marker>
            <c:bubble3D val="0"/>
            <c:extLst>
              <c:ext xmlns:c16="http://schemas.microsoft.com/office/drawing/2014/chart" uri="{C3380CC4-5D6E-409C-BE32-E72D297353CC}">
                <c16:uniqueId val="{0000001E-DAD1-4E96-A8DD-66615EDD7872}"/>
              </c:ext>
            </c:extLst>
          </c:dPt>
          <c:dPt>
            <c:idx val="30"/>
            <c:marker>
              <c:symbol val="circle"/>
              <c:size val="10"/>
              <c:spPr>
                <a:solidFill>
                  <a:srgbClr val="3DFF01"/>
                </a:solidFill>
                <a:ln w="9525">
                  <a:solidFill>
                    <a:schemeClr val="accent1"/>
                  </a:solidFill>
                </a:ln>
                <a:effectLst/>
              </c:spPr>
            </c:marker>
            <c:bubble3D val="0"/>
            <c:extLst>
              <c:ext xmlns:c16="http://schemas.microsoft.com/office/drawing/2014/chart" uri="{C3380CC4-5D6E-409C-BE32-E72D297353CC}">
                <c16:uniqueId val="{0000001F-DAD1-4E96-A8DD-66615EDD7872}"/>
              </c:ext>
            </c:extLst>
          </c:dPt>
          <c:dPt>
            <c:idx val="31"/>
            <c:marker>
              <c:symbol val="circle"/>
              <c:size val="10"/>
              <c:spPr>
                <a:solidFill>
                  <a:srgbClr val="31FF01"/>
                </a:solidFill>
                <a:ln w="9525">
                  <a:solidFill>
                    <a:schemeClr val="accent1"/>
                  </a:solidFill>
                </a:ln>
                <a:effectLst/>
              </c:spPr>
            </c:marker>
            <c:bubble3D val="0"/>
            <c:extLst>
              <c:ext xmlns:c16="http://schemas.microsoft.com/office/drawing/2014/chart" uri="{C3380CC4-5D6E-409C-BE32-E72D297353CC}">
                <c16:uniqueId val="{00000020-DAD1-4E96-A8DD-66615EDD7872}"/>
              </c:ext>
            </c:extLst>
          </c:dPt>
          <c:dPt>
            <c:idx val="32"/>
            <c:marker>
              <c:symbol val="circle"/>
              <c:size val="10"/>
              <c:spPr>
                <a:solidFill>
                  <a:srgbClr val="1FFF01"/>
                </a:solidFill>
                <a:ln w="9525">
                  <a:solidFill>
                    <a:schemeClr val="accent1"/>
                  </a:solidFill>
                </a:ln>
                <a:effectLst/>
              </c:spPr>
            </c:marker>
            <c:bubble3D val="0"/>
            <c:extLst>
              <c:ext xmlns:c16="http://schemas.microsoft.com/office/drawing/2014/chart" uri="{C3380CC4-5D6E-409C-BE32-E72D297353CC}">
                <c16:uniqueId val="{00000021-DAD1-4E96-A8DD-66615EDD7872}"/>
              </c:ext>
            </c:extLst>
          </c:dPt>
          <c:dPt>
            <c:idx val="33"/>
            <c:marker>
              <c:symbol val="circle"/>
              <c:size val="10"/>
              <c:spPr>
                <a:solidFill>
                  <a:srgbClr val="13FF01"/>
                </a:solidFill>
                <a:ln w="9525">
                  <a:solidFill>
                    <a:schemeClr val="accent1"/>
                  </a:solidFill>
                </a:ln>
                <a:effectLst/>
              </c:spPr>
            </c:marker>
            <c:bubble3D val="0"/>
            <c:extLst>
              <c:ext xmlns:c16="http://schemas.microsoft.com/office/drawing/2014/chart" uri="{C3380CC4-5D6E-409C-BE32-E72D297353CC}">
                <c16:uniqueId val="{00000022-DAD1-4E96-A8DD-66615EDD7872}"/>
              </c:ext>
            </c:extLst>
          </c:dPt>
          <c:dPt>
            <c:idx val="34"/>
            <c:marker>
              <c:symbol val="circle"/>
              <c:size val="10"/>
              <c:spPr>
                <a:solidFill>
                  <a:srgbClr val="01FF01"/>
                </a:solidFill>
                <a:ln w="9525">
                  <a:solidFill>
                    <a:schemeClr val="accent1"/>
                  </a:solidFill>
                </a:ln>
                <a:effectLst/>
              </c:spPr>
            </c:marker>
            <c:bubble3D val="0"/>
            <c:extLst>
              <c:ext xmlns:c16="http://schemas.microsoft.com/office/drawing/2014/chart" uri="{C3380CC4-5D6E-409C-BE32-E72D297353CC}">
                <c16:uniqueId val="{00000023-DAD1-4E96-A8DD-66615EDD7872}"/>
              </c:ext>
            </c:extLst>
          </c:dPt>
          <c:dPt>
            <c:idx val="35"/>
            <c:marker>
              <c:symbol val="circle"/>
              <c:size val="10"/>
              <c:spPr>
                <a:solidFill>
                  <a:srgbClr val="01FF0D"/>
                </a:solidFill>
                <a:ln w="9525">
                  <a:solidFill>
                    <a:schemeClr val="accent1"/>
                  </a:solidFill>
                </a:ln>
                <a:effectLst/>
              </c:spPr>
            </c:marker>
            <c:bubble3D val="0"/>
            <c:extLst>
              <c:ext xmlns:c16="http://schemas.microsoft.com/office/drawing/2014/chart" uri="{C3380CC4-5D6E-409C-BE32-E72D297353CC}">
                <c16:uniqueId val="{00000024-DAD1-4E96-A8DD-66615EDD7872}"/>
              </c:ext>
            </c:extLst>
          </c:dPt>
          <c:dPt>
            <c:idx val="36"/>
            <c:marker>
              <c:symbol val="circle"/>
              <c:size val="10"/>
              <c:spPr>
                <a:solidFill>
                  <a:srgbClr val="01FF1F"/>
                </a:solidFill>
                <a:ln w="9525">
                  <a:solidFill>
                    <a:schemeClr val="accent1"/>
                  </a:solidFill>
                </a:ln>
                <a:effectLst/>
              </c:spPr>
            </c:marker>
            <c:bubble3D val="0"/>
            <c:extLst>
              <c:ext xmlns:c16="http://schemas.microsoft.com/office/drawing/2014/chart" uri="{C3380CC4-5D6E-409C-BE32-E72D297353CC}">
                <c16:uniqueId val="{00000025-DAD1-4E96-A8DD-66615EDD7872}"/>
              </c:ext>
            </c:extLst>
          </c:dPt>
          <c:dPt>
            <c:idx val="37"/>
            <c:marker>
              <c:symbol val="circle"/>
              <c:size val="10"/>
              <c:spPr>
                <a:solidFill>
                  <a:srgbClr val="01FF2B"/>
                </a:solidFill>
                <a:ln w="9525">
                  <a:solidFill>
                    <a:schemeClr val="accent1"/>
                  </a:solidFill>
                </a:ln>
                <a:effectLst/>
              </c:spPr>
            </c:marker>
            <c:bubble3D val="0"/>
            <c:extLst>
              <c:ext xmlns:c16="http://schemas.microsoft.com/office/drawing/2014/chart" uri="{C3380CC4-5D6E-409C-BE32-E72D297353CC}">
                <c16:uniqueId val="{00000026-DAD1-4E96-A8DD-66615EDD7872}"/>
              </c:ext>
            </c:extLst>
          </c:dPt>
          <c:dPt>
            <c:idx val="38"/>
            <c:marker>
              <c:symbol val="circle"/>
              <c:size val="10"/>
              <c:spPr>
                <a:solidFill>
                  <a:srgbClr val="01FF3D"/>
                </a:solidFill>
                <a:ln w="9525">
                  <a:solidFill>
                    <a:schemeClr val="accent1"/>
                  </a:solidFill>
                </a:ln>
                <a:effectLst/>
              </c:spPr>
            </c:marker>
            <c:bubble3D val="0"/>
            <c:extLst>
              <c:ext xmlns:c16="http://schemas.microsoft.com/office/drawing/2014/chart" uri="{C3380CC4-5D6E-409C-BE32-E72D297353CC}">
                <c16:uniqueId val="{00000027-DAD1-4E96-A8DD-66615EDD7872}"/>
              </c:ext>
            </c:extLst>
          </c:dPt>
          <c:dPt>
            <c:idx val="39"/>
            <c:marker>
              <c:symbol val="circle"/>
              <c:size val="10"/>
              <c:spPr>
                <a:solidFill>
                  <a:srgbClr val="01FF49"/>
                </a:solidFill>
                <a:ln w="9525">
                  <a:solidFill>
                    <a:schemeClr val="accent1"/>
                  </a:solidFill>
                </a:ln>
                <a:effectLst/>
              </c:spPr>
            </c:marker>
            <c:bubble3D val="0"/>
            <c:extLst>
              <c:ext xmlns:c16="http://schemas.microsoft.com/office/drawing/2014/chart" uri="{C3380CC4-5D6E-409C-BE32-E72D297353CC}">
                <c16:uniqueId val="{00000027-80BD-4B15-A046-52C9D80F19B4}"/>
              </c:ext>
            </c:extLst>
          </c:dPt>
          <c:dPt>
            <c:idx val="40"/>
            <c:marker>
              <c:symbol val="circle"/>
              <c:size val="10"/>
              <c:spPr>
                <a:solidFill>
                  <a:srgbClr val="01FF5B"/>
                </a:solidFill>
                <a:ln w="9525">
                  <a:solidFill>
                    <a:schemeClr val="accent1"/>
                  </a:solidFill>
                </a:ln>
                <a:effectLst/>
              </c:spPr>
            </c:marker>
            <c:bubble3D val="0"/>
            <c:extLst>
              <c:ext xmlns:c16="http://schemas.microsoft.com/office/drawing/2014/chart" uri="{C3380CC4-5D6E-409C-BE32-E72D297353CC}">
                <c16:uniqueId val="{00000028-80BD-4B15-A046-52C9D80F19B4}"/>
              </c:ext>
            </c:extLst>
          </c:dPt>
          <c:dPt>
            <c:idx val="41"/>
            <c:marker>
              <c:symbol val="circle"/>
              <c:size val="10"/>
              <c:spPr>
                <a:solidFill>
                  <a:srgbClr val="01FF67"/>
                </a:solidFill>
                <a:ln w="9525">
                  <a:solidFill>
                    <a:schemeClr val="accent1"/>
                  </a:solidFill>
                </a:ln>
                <a:effectLst/>
              </c:spPr>
            </c:marker>
            <c:bubble3D val="0"/>
            <c:extLst>
              <c:ext xmlns:c16="http://schemas.microsoft.com/office/drawing/2014/chart" uri="{C3380CC4-5D6E-409C-BE32-E72D297353CC}">
                <c16:uniqueId val="{00000029-80BD-4B15-A046-52C9D80F19B4}"/>
              </c:ext>
            </c:extLst>
          </c:dPt>
          <c:dPt>
            <c:idx val="42"/>
            <c:marker>
              <c:symbol val="circle"/>
              <c:size val="10"/>
              <c:spPr>
                <a:solidFill>
                  <a:srgbClr val="01FF79"/>
                </a:solidFill>
                <a:ln w="9525">
                  <a:solidFill>
                    <a:schemeClr val="accent1"/>
                  </a:solidFill>
                </a:ln>
                <a:effectLst/>
              </c:spPr>
            </c:marker>
            <c:bubble3D val="0"/>
            <c:extLst>
              <c:ext xmlns:c16="http://schemas.microsoft.com/office/drawing/2014/chart" uri="{C3380CC4-5D6E-409C-BE32-E72D297353CC}">
                <c16:uniqueId val="{0000002A-80BD-4B15-A046-52C9D80F19B4}"/>
              </c:ext>
            </c:extLst>
          </c:dPt>
          <c:dPt>
            <c:idx val="43"/>
            <c:marker>
              <c:symbol val="circle"/>
              <c:size val="10"/>
              <c:spPr>
                <a:solidFill>
                  <a:srgbClr val="01FF84"/>
                </a:solidFill>
                <a:ln w="9525">
                  <a:solidFill>
                    <a:schemeClr val="accent1"/>
                  </a:solidFill>
                </a:ln>
                <a:effectLst/>
              </c:spPr>
            </c:marker>
            <c:bubble3D val="0"/>
            <c:extLst>
              <c:ext xmlns:c16="http://schemas.microsoft.com/office/drawing/2014/chart" uri="{C3380CC4-5D6E-409C-BE32-E72D297353CC}">
                <c16:uniqueId val="{0000002B-80BD-4B15-A046-52C9D80F19B4}"/>
              </c:ext>
            </c:extLst>
          </c:dPt>
          <c:dPt>
            <c:idx val="44"/>
            <c:marker>
              <c:symbol val="circle"/>
              <c:size val="10"/>
              <c:spPr>
                <a:solidFill>
                  <a:srgbClr val="01FF96"/>
                </a:solidFill>
                <a:ln w="9525">
                  <a:solidFill>
                    <a:schemeClr val="accent1"/>
                  </a:solidFill>
                </a:ln>
                <a:effectLst/>
              </c:spPr>
            </c:marker>
            <c:bubble3D val="0"/>
            <c:extLst>
              <c:ext xmlns:c16="http://schemas.microsoft.com/office/drawing/2014/chart" uri="{C3380CC4-5D6E-409C-BE32-E72D297353CC}">
                <c16:uniqueId val="{0000002C-80BD-4B15-A046-52C9D80F19B4}"/>
              </c:ext>
            </c:extLst>
          </c:dPt>
          <c:dPt>
            <c:idx val="45"/>
            <c:marker>
              <c:symbol val="circle"/>
              <c:size val="10"/>
              <c:spPr>
                <a:solidFill>
                  <a:srgbClr val="01FFA2"/>
                </a:solidFill>
                <a:ln w="9525">
                  <a:solidFill>
                    <a:schemeClr val="accent1"/>
                  </a:solidFill>
                </a:ln>
                <a:effectLst/>
              </c:spPr>
            </c:marker>
            <c:bubble3D val="0"/>
            <c:extLst>
              <c:ext xmlns:c16="http://schemas.microsoft.com/office/drawing/2014/chart" uri="{C3380CC4-5D6E-409C-BE32-E72D297353CC}">
                <c16:uniqueId val="{0000002D-80BD-4B15-A046-52C9D80F19B4}"/>
              </c:ext>
            </c:extLst>
          </c:dPt>
          <c:dPt>
            <c:idx val="46"/>
            <c:marker>
              <c:symbol val="circle"/>
              <c:size val="10"/>
              <c:spPr>
                <a:solidFill>
                  <a:srgbClr val="01FFB4"/>
                </a:solidFill>
                <a:ln w="9525">
                  <a:solidFill>
                    <a:schemeClr val="accent1"/>
                  </a:solidFill>
                </a:ln>
                <a:effectLst/>
              </c:spPr>
            </c:marker>
            <c:bubble3D val="0"/>
            <c:extLst>
              <c:ext xmlns:c16="http://schemas.microsoft.com/office/drawing/2014/chart" uri="{C3380CC4-5D6E-409C-BE32-E72D297353CC}">
                <c16:uniqueId val="{0000002E-80BD-4B15-A046-52C9D80F19B4}"/>
              </c:ext>
            </c:extLst>
          </c:dPt>
          <c:dPt>
            <c:idx val="47"/>
            <c:marker>
              <c:symbol val="circle"/>
              <c:size val="10"/>
              <c:spPr>
                <a:solidFill>
                  <a:srgbClr val="01FFC0"/>
                </a:solidFill>
                <a:ln w="9525">
                  <a:solidFill>
                    <a:schemeClr val="accent1"/>
                  </a:solidFill>
                </a:ln>
                <a:effectLst/>
              </c:spPr>
            </c:marker>
            <c:bubble3D val="0"/>
            <c:extLst>
              <c:ext xmlns:c16="http://schemas.microsoft.com/office/drawing/2014/chart" uri="{C3380CC4-5D6E-409C-BE32-E72D297353CC}">
                <c16:uniqueId val="{0000002F-80BD-4B15-A046-52C9D80F19B4}"/>
              </c:ext>
            </c:extLst>
          </c:dPt>
          <c:dPt>
            <c:idx val="48"/>
            <c:marker>
              <c:symbol val="circle"/>
              <c:size val="10"/>
              <c:spPr>
                <a:solidFill>
                  <a:srgbClr val="01FFD2"/>
                </a:solidFill>
                <a:ln w="9525">
                  <a:solidFill>
                    <a:schemeClr val="accent1"/>
                  </a:solidFill>
                </a:ln>
                <a:effectLst/>
              </c:spPr>
            </c:marker>
            <c:bubble3D val="0"/>
            <c:extLst>
              <c:ext xmlns:c16="http://schemas.microsoft.com/office/drawing/2014/chart" uri="{C3380CC4-5D6E-409C-BE32-E72D297353CC}">
                <c16:uniqueId val="{00000030-80BD-4B15-A046-52C9D80F19B4}"/>
              </c:ext>
            </c:extLst>
          </c:dPt>
          <c:dPt>
            <c:idx val="49"/>
            <c:marker>
              <c:symbol val="circle"/>
              <c:size val="10"/>
              <c:spPr>
                <a:solidFill>
                  <a:srgbClr val="01FFDE"/>
                </a:solidFill>
                <a:ln w="9525">
                  <a:solidFill>
                    <a:schemeClr val="accent1"/>
                  </a:solidFill>
                </a:ln>
                <a:effectLst/>
              </c:spPr>
            </c:marker>
            <c:bubble3D val="0"/>
            <c:extLst>
              <c:ext xmlns:c16="http://schemas.microsoft.com/office/drawing/2014/chart" uri="{C3380CC4-5D6E-409C-BE32-E72D297353CC}">
                <c16:uniqueId val="{00000031-80BD-4B15-A046-52C9D80F19B4}"/>
              </c:ext>
            </c:extLst>
          </c:dPt>
          <c:dPt>
            <c:idx val="50"/>
            <c:marker>
              <c:symbol val="circle"/>
              <c:size val="10"/>
              <c:spPr>
                <a:solidFill>
                  <a:srgbClr val="01FFF0"/>
                </a:solidFill>
                <a:ln w="9525">
                  <a:solidFill>
                    <a:schemeClr val="accent1"/>
                  </a:solidFill>
                </a:ln>
                <a:effectLst/>
              </c:spPr>
            </c:marker>
            <c:bubble3D val="0"/>
            <c:extLst>
              <c:ext xmlns:c16="http://schemas.microsoft.com/office/drawing/2014/chart" uri="{C3380CC4-5D6E-409C-BE32-E72D297353CC}">
                <c16:uniqueId val="{00000032-80BD-4B15-A046-52C9D80F19B4}"/>
              </c:ext>
            </c:extLst>
          </c:dPt>
          <c:dPt>
            <c:idx val="51"/>
            <c:marker>
              <c:symbol val="circle"/>
              <c:size val="10"/>
              <c:spPr>
                <a:solidFill>
                  <a:srgbClr val="01FFFC"/>
                </a:solidFill>
                <a:ln w="9525">
                  <a:solidFill>
                    <a:schemeClr val="accent1"/>
                  </a:solidFill>
                </a:ln>
                <a:effectLst/>
              </c:spPr>
            </c:marker>
            <c:bubble3D val="0"/>
            <c:extLst>
              <c:ext xmlns:c16="http://schemas.microsoft.com/office/drawing/2014/chart" uri="{C3380CC4-5D6E-409C-BE32-E72D297353CC}">
                <c16:uniqueId val="{00000033-80BD-4B15-A046-52C9D80F19B4}"/>
              </c:ext>
            </c:extLst>
          </c:dPt>
          <c:dPt>
            <c:idx val="52"/>
            <c:marker>
              <c:symbol val="circle"/>
              <c:size val="10"/>
              <c:spPr>
                <a:solidFill>
                  <a:srgbClr val="01F0FF"/>
                </a:solidFill>
                <a:ln w="9525">
                  <a:solidFill>
                    <a:schemeClr val="accent1"/>
                  </a:solidFill>
                </a:ln>
                <a:effectLst/>
              </c:spPr>
            </c:marker>
            <c:bubble3D val="0"/>
            <c:extLst>
              <c:ext xmlns:c16="http://schemas.microsoft.com/office/drawing/2014/chart" uri="{C3380CC4-5D6E-409C-BE32-E72D297353CC}">
                <c16:uniqueId val="{00000034-80BD-4B15-A046-52C9D80F19B4}"/>
              </c:ext>
            </c:extLst>
          </c:dPt>
          <c:dPt>
            <c:idx val="53"/>
            <c:marker>
              <c:symbol val="circle"/>
              <c:size val="10"/>
              <c:spPr>
                <a:solidFill>
                  <a:srgbClr val="01E4FF"/>
                </a:solidFill>
                <a:ln w="9525">
                  <a:solidFill>
                    <a:schemeClr val="accent1"/>
                  </a:solidFill>
                </a:ln>
                <a:effectLst/>
              </c:spPr>
            </c:marker>
            <c:bubble3D val="0"/>
            <c:extLst>
              <c:ext xmlns:c16="http://schemas.microsoft.com/office/drawing/2014/chart" uri="{C3380CC4-5D6E-409C-BE32-E72D297353CC}">
                <c16:uniqueId val="{00000035-80BD-4B15-A046-52C9D80F19B4}"/>
              </c:ext>
            </c:extLst>
          </c:dPt>
          <c:dPt>
            <c:idx val="54"/>
            <c:marker>
              <c:symbol val="circle"/>
              <c:size val="10"/>
              <c:spPr>
                <a:solidFill>
                  <a:srgbClr val="01D2FF"/>
                </a:solidFill>
                <a:ln w="9525">
                  <a:solidFill>
                    <a:schemeClr val="accent1"/>
                  </a:solidFill>
                </a:ln>
                <a:effectLst/>
              </c:spPr>
            </c:marker>
            <c:bubble3D val="0"/>
            <c:extLst>
              <c:ext xmlns:c16="http://schemas.microsoft.com/office/drawing/2014/chart" uri="{C3380CC4-5D6E-409C-BE32-E72D297353CC}">
                <c16:uniqueId val="{00000036-80BD-4B15-A046-52C9D80F19B4}"/>
              </c:ext>
            </c:extLst>
          </c:dPt>
          <c:dPt>
            <c:idx val="55"/>
            <c:marker>
              <c:symbol val="circle"/>
              <c:size val="10"/>
              <c:spPr>
                <a:solidFill>
                  <a:srgbClr val="01C6FF"/>
                </a:solidFill>
                <a:ln w="9525">
                  <a:solidFill>
                    <a:schemeClr val="accent1"/>
                  </a:solidFill>
                </a:ln>
                <a:effectLst/>
              </c:spPr>
            </c:marker>
            <c:bubble3D val="0"/>
            <c:extLst>
              <c:ext xmlns:c16="http://schemas.microsoft.com/office/drawing/2014/chart" uri="{C3380CC4-5D6E-409C-BE32-E72D297353CC}">
                <c16:uniqueId val="{00000037-80BD-4B15-A046-52C9D80F19B4}"/>
              </c:ext>
            </c:extLst>
          </c:dPt>
          <c:dPt>
            <c:idx val="56"/>
            <c:marker>
              <c:symbol val="circle"/>
              <c:size val="10"/>
              <c:spPr>
                <a:solidFill>
                  <a:srgbClr val="01B4FF"/>
                </a:solidFill>
                <a:ln w="9525">
                  <a:solidFill>
                    <a:schemeClr val="accent1"/>
                  </a:solidFill>
                </a:ln>
                <a:effectLst/>
              </c:spPr>
            </c:marker>
            <c:bubble3D val="0"/>
            <c:extLst>
              <c:ext xmlns:c16="http://schemas.microsoft.com/office/drawing/2014/chart" uri="{C3380CC4-5D6E-409C-BE32-E72D297353CC}">
                <c16:uniqueId val="{00000038-80BD-4B15-A046-52C9D80F19B4}"/>
              </c:ext>
            </c:extLst>
          </c:dPt>
          <c:dPt>
            <c:idx val="57"/>
            <c:marker>
              <c:symbol val="circle"/>
              <c:size val="10"/>
              <c:spPr>
                <a:solidFill>
                  <a:srgbClr val="01A8FF"/>
                </a:solidFill>
                <a:ln w="9525">
                  <a:solidFill>
                    <a:schemeClr val="accent1"/>
                  </a:solidFill>
                </a:ln>
                <a:effectLst/>
              </c:spPr>
            </c:marker>
            <c:bubble3D val="0"/>
            <c:extLst>
              <c:ext xmlns:c16="http://schemas.microsoft.com/office/drawing/2014/chart" uri="{C3380CC4-5D6E-409C-BE32-E72D297353CC}">
                <c16:uniqueId val="{00000039-80BD-4B15-A046-52C9D80F19B4}"/>
              </c:ext>
            </c:extLst>
          </c:dPt>
          <c:dPt>
            <c:idx val="58"/>
            <c:marker>
              <c:symbol val="circle"/>
              <c:size val="10"/>
              <c:spPr>
                <a:solidFill>
                  <a:srgbClr val="0196FF"/>
                </a:solidFill>
                <a:ln w="9525">
                  <a:solidFill>
                    <a:schemeClr val="accent1"/>
                  </a:solidFill>
                </a:ln>
                <a:effectLst/>
              </c:spPr>
            </c:marker>
            <c:bubble3D val="0"/>
            <c:extLst>
              <c:ext xmlns:c16="http://schemas.microsoft.com/office/drawing/2014/chart" uri="{C3380CC4-5D6E-409C-BE32-E72D297353CC}">
                <c16:uniqueId val="{0000003A-80BD-4B15-A046-52C9D80F19B4}"/>
              </c:ext>
            </c:extLst>
          </c:dPt>
          <c:dPt>
            <c:idx val="59"/>
            <c:marker>
              <c:symbol val="circle"/>
              <c:size val="10"/>
              <c:spPr>
                <a:solidFill>
                  <a:srgbClr val="018AFF"/>
                </a:solidFill>
                <a:ln w="9525">
                  <a:solidFill>
                    <a:schemeClr val="accent1"/>
                  </a:solidFill>
                </a:ln>
                <a:effectLst/>
              </c:spPr>
            </c:marker>
            <c:bubble3D val="0"/>
            <c:extLst>
              <c:ext xmlns:c16="http://schemas.microsoft.com/office/drawing/2014/chart" uri="{C3380CC4-5D6E-409C-BE32-E72D297353CC}">
                <c16:uniqueId val="{0000003B-80BD-4B15-A046-52C9D80F19B4}"/>
              </c:ext>
            </c:extLst>
          </c:dPt>
          <c:dPt>
            <c:idx val="60"/>
            <c:marker>
              <c:symbol val="circle"/>
              <c:size val="10"/>
              <c:spPr>
                <a:solidFill>
                  <a:srgbClr val="0179FF"/>
                </a:solidFill>
                <a:ln w="9525">
                  <a:solidFill>
                    <a:schemeClr val="accent1"/>
                  </a:solidFill>
                </a:ln>
                <a:effectLst/>
              </c:spPr>
            </c:marker>
            <c:bubble3D val="0"/>
            <c:extLst>
              <c:ext xmlns:c16="http://schemas.microsoft.com/office/drawing/2014/chart" uri="{C3380CC4-5D6E-409C-BE32-E72D297353CC}">
                <c16:uniqueId val="{0000003C-80BD-4B15-A046-52C9D80F19B4}"/>
              </c:ext>
            </c:extLst>
          </c:dPt>
          <c:dPt>
            <c:idx val="61"/>
            <c:marker>
              <c:symbol val="circle"/>
              <c:size val="10"/>
              <c:spPr>
                <a:solidFill>
                  <a:srgbClr val="016DFF"/>
                </a:solidFill>
                <a:ln w="9525">
                  <a:solidFill>
                    <a:schemeClr val="accent1"/>
                  </a:solidFill>
                </a:ln>
                <a:effectLst/>
              </c:spPr>
            </c:marker>
            <c:bubble3D val="0"/>
            <c:extLst>
              <c:ext xmlns:c16="http://schemas.microsoft.com/office/drawing/2014/chart" uri="{C3380CC4-5D6E-409C-BE32-E72D297353CC}">
                <c16:uniqueId val="{0000003D-80BD-4B15-A046-52C9D80F19B4}"/>
              </c:ext>
            </c:extLst>
          </c:dPt>
          <c:dPt>
            <c:idx val="62"/>
            <c:marker>
              <c:symbol val="circle"/>
              <c:size val="10"/>
              <c:spPr>
                <a:solidFill>
                  <a:srgbClr val="015BFF"/>
                </a:solidFill>
                <a:ln w="9525">
                  <a:solidFill>
                    <a:schemeClr val="accent1"/>
                  </a:solidFill>
                </a:ln>
                <a:effectLst/>
              </c:spPr>
            </c:marker>
            <c:bubble3D val="0"/>
            <c:extLst>
              <c:ext xmlns:c16="http://schemas.microsoft.com/office/drawing/2014/chart" uri="{C3380CC4-5D6E-409C-BE32-E72D297353CC}">
                <c16:uniqueId val="{0000003E-80BD-4B15-A046-52C9D80F19B4}"/>
              </c:ext>
            </c:extLst>
          </c:dPt>
          <c:dPt>
            <c:idx val="63"/>
            <c:marker>
              <c:symbol val="circle"/>
              <c:size val="10"/>
              <c:spPr>
                <a:solidFill>
                  <a:srgbClr val="014FFF"/>
                </a:solidFill>
                <a:ln w="9525">
                  <a:solidFill>
                    <a:schemeClr val="accent1"/>
                  </a:solidFill>
                </a:ln>
                <a:effectLst/>
              </c:spPr>
            </c:marker>
            <c:bubble3D val="0"/>
            <c:extLst>
              <c:ext xmlns:c16="http://schemas.microsoft.com/office/drawing/2014/chart" uri="{C3380CC4-5D6E-409C-BE32-E72D297353CC}">
                <c16:uniqueId val="{0000003F-80BD-4B15-A046-52C9D80F19B4}"/>
              </c:ext>
            </c:extLst>
          </c:dPt>
          <c:dPt>
            <c:idx val="64"/>
            <c:marker>
              <c:symbol val="circle"/>
              <c:size val="10"/>
              <c:spPr>
                <a:solidFill>
                  <a:srgbClr val="013DFF"/>
                </a:solidFill>
                <a:ln w="9525">
                  <a:solidFill>
                    <a:schemeClr val="accent1"/>
                  </a:solidFill>
                </a:ln>
                <a:effectLst/>
              </c:spPr>
            </c:marker>
            <c:bubble3D val="0"/>
            <c:extLst>
              <c:ext xmlns:c16="http://schemas.microsoft.com/office/drawing/2014/chart" uri="{C3380CC4-5D6E-409C-BE32-E72D297353CC}">
                <c16:uniqueId val="{00000040-80BD-4B15-A046-52C9D80F19B4}"/>
              </c:ext>
            </c:extLst>
          </c:dPt>
          <c:dPt>
            <c:idx val="65"/>
            <c:marker>
              <c:symbol val="circle"/>
              <c:size val="10"/>
              <c:spPr>
                <a:solidFill>
                  <a:srgbClr val="0131FF"/>
                </a:solidFill>
                <a:ln w="9525">
                  <a:solidFill>
                    <a:schemeClr val="accent1"/>
                  </a:solidFill>
                </a:ln>
                <a:effectLst/>
              </c:spPr>
            </c:marker>
            <c:bubble3D val="0"/>
            <c:extLst>
              <c:ext xmlns:c16="http://schemas.microsoft.com/office/drawing/2014/chart" uri="{C3380CC4-5D6E-409C-BE32-E72D297353CC}">
                <c16:uniqueId val="{00000041-80BD-4B15-A046-52C9D80F19B4}"/>
              </c:ext>
            </c:extLst>
          </c:dPt>
          <c:dPt>
            <c:idx val="66"/>
            <c:marker>
              <c:symbol val="circle"/>
              <c:size val="10"/>
              <c:spPr>
                <a:solidFill>
                  <a:srgbClr val="011FFF"/>
                </a:solidFill>
                <a:ln w="9525">
                  <a:solidFill>
                    <a:schemeClr val="accent1"/>
                  </a:solidFill>
                </a:ln>
                <a:effectLst/>
              </c:spPr>
            </c:marker>
            <c:bubble3D val="0"/>
            <c:extLst>
              <c:ext xmlns:c16="http://schemas.microsoft.com/office/drawing/2014/chart" uri="{C3380CC4-5D6E-409C-BE32-E72D297353CC}">
                <c16:uniqueId val="{00000042-80BD-4B15-A046-52C9D80F19B4}"/>
              </c:ext>
            </c:extLst>
          </c:dPt>
          <c:dPt>
            <c:idx val="67"/>
            <c:marker>
              <c:symbol val="circle"/>
              <c:size val="10"/>
              <c:spPr>
                <a:solidFill>
                  <a:srgbClr val="0113FF"/>
                </a:solidFill>
                <a:ln w="9525">
                  <a:solidFill>
                    <a:schemeClr val="accent1"/>
                  </a:solidFill>
                </a:ln>
                <a:effectLst/>
              </c:spPr>
            </c:marker>
            <c:bubble3D val="0"/>
            <c:extLst>
              <c:ext xmlns:c16="http://schemas.microsoft.com/office/drawing/2014/chart" uri="{C3380CC4-5D6E-409C-BE32-E72D297353CC}">
                <c16:uniqueId val="{00000043-80BD-4B15-A046-52C9D80F19B4}"/>
              </c:ext>
            </c:extLst>
          </c:dPt>
          <c:dPt>
            <c:idx val="68"/>
            <c:marker>
              <c:symbol val="circle"/>
              <c:size val="10"/>
              <c:spPr>
                <a:solidFill>
                  <a:srgbClr val="0101FF"/>
                </a:solidFill>
                <a:ln w="9525">
                  <a:solidFill>
                    <a:schemeClr val="accent1"/>
                  </a:solidFill>
                </a:ln>
                <a:effectLst/>
              </c:spPr>
            </c:marker>
            <c:bubble3D val="0"/>
            <c:extLst>
              <c:ext xmlns:c16="http://schemas.microsoft.com/office/drawing/2014/chart" uri="{C3380CC4-5D6E-409C-BE32-E72D297353CC}">
                <c16:uniqueId val="{00000044-80BD-4B15-A046-52C9D80F19B4}"/>
              </c:ext>
            </c:extLst>
          </c:dPt>
          <c:dPt>
            <c:idx val="69"/>
            <c:marker>
              <c:symbol val="circle"/>
              <c:size val="10"/>
              <c:spPr>
                <a:solidFill>
                  <a:srgbClr val="0D01FF"/>
                </a:solidFill>
                <a:ln w="9525">
                  <a:solidFill>
                    <a:schemeClr val="accent1"/>
                  </a:solidFill>
                </a:ln>
                <a:effectLst/>
              </c:spPr>
            </c:marker>
            <c:bubble3D val="0"/>
            <c:extLst>
              <c:ext xmlns:c16="http://schemas.microsoft.com/office/drawing/2014/chart" uri="{C3380CC4-5D6E-409C-BE32-E72D297353CC}">
                <c16:uniqueId val="{00000045-80BD-4B15-A046-52C9D80F19B4}"/>
              </c:ext>
            </c:extLst>
          </c:dPt>
          <c:dPt>
            <c:idx val="70"/>
            <c:marker>
              <c:symbol val="circle"/>
              <c:size val="10"/>
              <c:spPr>
                <a:solidFill>
                  <a:srgbClr val="1F01FF"/>
                </a:solidFill>
                <a:ln w="9525">
                  <a:solidFill>
                    <a:schemeClr val="accent1"/>
                  </a:solidFill>
                </a:ln>
                <a:effectLst/>
              </c:spPr>
            </c:marker>
            <c:bubble3D val="0"/>
            <c:extLst>
              <c:ext xmlns:c16="http://schemas.microsoft.com/office/drawing/2014/chart" uri="{C3380CC4-5D6E-409C-BE32-E72D297353CC}">
                <c16:uniqueId val="{00000046-80BD-4B15-A046-52C9D80F19B4}"/>
              </c:ext>
            </c:extLst>
          </c:dPt>
          <c:dPt>
            <c:idx val="71"/>
            <c:marker>
              <c:symbol val="circle"/>
              <c:size val="10"/>
              <c:spPr>
                <a:solidFill>
                  <a:srgbClr val="2B01FF"/>
                </a:solidFill>
                <a:ln w="9525">
                  <a:solidFill>
                    <a:schemeClr val="accent1"/>
                  </a:solidFill>
                </a:ln>
                <a:effectLst/>
              </c:spPr>
            </c:marker>
            <c:bubble3D val="0"/>
            <c:extLst>
              <c:ext xmlns:c16="http://schemas.microsoft.com/office/drawing/2014/chart" uri="{C3380CC4-5D6E-409C-BE32-E72D297353CC}">
                <c16:uniqueId val="{00000047-80BD-4B15-A046-52C9D80F19B4}"/>
              </c:ext>
            </c:extLst>
          </c:dPt>
          <c:dPt>
            <c:idx val="72"/>
            <c:marker>
              <c:symbol val="circle"/>
              <c:size val="10"/>
              <c:spPr>
                <a:solidFill>
                  <a:srgbClr val="3D01FF"/>
                </a:solidFill>
                <a:ln w="9525">
                  <a:solidFill>
                    <a:schemeClr val="accent1"/>
                  </a:solidFill>
                </a:ln>
                <a:effectLst/>
              </c:spPr>
            </c:marker>
            <c:bubble3D val="0"/>
            <c:extLst>
              <c:ext xmlns:c16="http://schemas.microsoft.com/office/drawing/2014/chart" uri="{C3380CC4-5D6E-409C-BE32-E72D297353CC}">
                <c16:uniqueId val="{00000048-80BD-4B15-A046-52C9D80F19B4}"/>
              </c:ext>
            </c:extLst>
          </c:dPt>
          <c:dPt>
            <c:idx val="73"/>
            <c:marker>
              <c:symbol val="circle"/>
              <c:size val="10"/>
              <c:spPr>
                <a:solidFill>
                  <a:srgbClr val="4901FF"/>
                </a:solidFill>
                <a:ln w="9525">
                  <a:solidFill>
                    <a:schemeClr val="accent1"/>
                  </a:solidFill>
                </a:ln>
                <a:effectLst/>
              </c:spPr>
            </c:marker>
            <c:bubble3D val="0"/>
            <c:extLst>
              <c:ext xmlns:c16="http://schemas.microsoft.com/office/drawing/2014/chart" uri="{C3380CC4-5D6E-409C-BE32-E72D297353CC}">
                <c16:uniqueId val="{00000049-80BD-4B15-A046-52C9D80F19B4}"/>
              </c:ext>
            </c:extLst>
          </c:dPt>
          <c:dPt>
            <c:idx val="74"/>
            <c:marker>
              <c:symbol val="circle"/>
              <c:size val="10"/>
              <c:spPr>
                <a:solidFill>
                  <a:srgbClr val="5B01FF"/>
                </a:solidFill>
                <a:ln w="9525">
                  <a:solidFill>
                    <a:schemeClr val="accent1"/>
                  </a:solidFill>
                </a:ln>
                <a:effectLst/>
              </c:spPr>
            </c:marker>
            <c:bubble3D val="0"/>
            <c:extLst>
              <c:ext xmlns:c16="http://schemas.microsoft.com/office/drawing/2014/chart" uri="{C3380CC4-5D6E-409C-BE32-E72D297353CC}">
                <c16:uniqueId val="{0000004A-80BD-4B15-A046-52C9D80F19B4}"/>
              </c:ext>
            </c:extLst>
          </c:dPt>
          <c:dPt>
            <c:idx val="75"/>
            <c:marker>
              <c:symbol val="circle"/>
              <c:size val="10"/>
              <c:spPr>
                <a:solidFill>
                  <a:srgbClr val="6701FF"/>
                </a:solidFill>
                <a:ln w="9525">
                  <a:solidFill>
                    <a:schemeClr val="accent1"/>
                  </a:solidFill>
                </a:ln>
                <a:effectLst/>
              </c:spPr>
            </c:marker>
            <c:bubble3D val="0"/>
            <c:extLst>
              <c:ext xmlns:c16="http://schemas.microsoft.com/office/drawing/2014/chart" uri="{C3380CC4-5D6E-409C-BE32-E72D297353CC}">
                <c16:uniqueId val="{0000004B-80BD-4B15-A046-52C9D80F19B4}"/>
              </c:ext>
            </c:extLst>
          </c:dPt>
          <c:dPt>
            <c:idx val="76"/>
            <c:marker>
              <c:symbol val="circle"/>
              <c:size val="10"/>
              <c:spPr>
                <a:solidFill>
                  <a:srgbClr val="7901FF"/>
                </a:solidFill>
                <a:ln w="9525">
                  <a:solidFill>
                    <a:schemeClr val="accent1"/>
                  </a:solidFill>
                </a:ln>
                <a:effectLst/>
              </c:spPr>
            </c:marker>
            <c:bubble3D val="0"/>
            <c:extLst>
              <c:ext xmlns:c16="http://schemas.microsoft.com/office/drawing/2014/chart" uri="{C3380CC4-5D6E-409C-BE32-E72D297353CC}">
                <c16:uniqueId val="{0000004C-80BD-4B15-A046-52C9D80F19B4}"/>
              </c:ext>
            </c:extLst>
          </c:dPt>
          <c:dPt>
            <c:idx val="77"/>
            <c:marker>
              <c:symbol val="circle"/>
              <c:size val="10"/>
              <c:spPr>
                <a:solidFill>
                  <a:srgbClr val="8401FF"/>
                </a:solidFill>
                <a:ln w="9525">
                  <a:solidFill>
                    <a:schemeClr val="accent1"/>
                  </a:solidFill>
                </a:ln>
                <a:effectLst/>
              </c:spPr>
            </c:marker>
            <c:bubble3D val="0"/>
            <c:extLst>
              <c:ext xmlns:c16="http://schemas.microsoft.com/office/drawing/2014/chart" uri="{C3380CC4-5D6E-409C-BE32-E72D297353CC}">
                <c16:uniqueId val="{0000004D-80BD-4B15-A046-52C9D80F19B4}"/>
              </c:ext>
            </c:extLst>
          </c:dPt>
          <c:dPt>
            <c:idx val="78"/>
            <c:marker>
              <c:symbol val="circle"/>
              <c:size val="10"/>
              <c:spPr>
                <a:solidFill>
                  <a:srgbClr val="9601FF"/>
                </a:solidFill>
                <a:ln w="9525">
                  <a:solidFill>
                    <a:schemeClr val="accent1"/>
                  </a:solidFill>
                </a:ln>
                <a:effectLst/>
              </c:spPr>
            </c:marker>
            <c:bubble3D val="0"/>
            <c:extLst>
              <c:ext xmlns:c16="http://schemas.microsoft.com/office/drawing/2014/chart" uri="{C3380CC4-5D6E-409C-BE32-E72D297353CC}">
                <c16:uniqueId val="{0000004E-80BD-4B15-A046-52C9D80F19B4}"/>
              </c:ext>
            </c:extLst>
          </c:dPt>
          <c:xVal>
            <c:numRef>
              <c:f>Combined!$C$2:$C$80</c:f>
              <c:numCache>
                <c:formatCode>General</c:formatCode>
                <c:ptCount val="79"/>
                <c:pt idx="0">
                  <c:v>8.526209831237793</c:v>
                </c:pt>
                <c:pt idx="1">
                  <c:v>7.7378903974518671</c:v>
                </c:pt>
                <c:pt idx="2">
                  <c:v>8.6495438438248442</c:v>
                </c:pt>
                <c:pt idx="3">
                  <c:v>9.21030866933285</c:v>
                </c:pt>
                <c:pt idx="4">
                  <c:v>10.314599169737038</c:v>
                </c:pt>
                <c:pt idx="5">
                  <c:v>11.153500658026353</c:v>
                </c:pt>
                <c:pt idx="6">
                  <c:v>9.9378186291302875</c:v>
                </c:pt>
                <c:pt idx="7">
                  <c:v>9.1086367813538658</c:v>
                </c:pt>
                <c:pt idx="8">
                  <c:v>7.8809415270234533</c:v>
                </c:pt>
                <c:pt idx="9">
                  <c:v>7.2252750852123473</c:v>
                </c:pt>
                <c:pt idx="10">
                  <c:v>8.3503875732421875</c:v>
                </c:pt>
                <c:pt idx="11">
                  <c:v>9.2665027375444762</c:v>
                </c:pt>
                <c:pt idx="12">
                  <c:v>8.3223110361798014</c:v>
                </c:pt>
                <c:pt idx="13">
                  <c:v>5.6309749641018811</c:v>
                </c:pt>
                <c:pt idx="14">
                  <c:v>7.2146699669787111</c:v>
                </c:pt>
                <c:pt idx="15">
                  <c:v>8.7702641455289445</c:v>
                </c:pt>
                <c:pt idx="16">
                  <c:v>10.391627065539124</c:v>
                </c:pt>
                <c:pt idx="17">
                  <c:v>10.022898827638143</c:v>
                </c:pt>
                <c:pt idx="18">
                  <c:v>8.6846130035911049</c:v>
                </c:pt>
                <c:pt idx="19">
                  <c:v>8.3837897434089044</c:v>
                </c:pt>
                <c:pt idx="20">
                  <c:v>10.185391954155202</c:v>
                </c:pt>
                <c:pt idx="21">
                  <c:v>11.955278045502313</c:v>
                </c:pt>
                <c:pt idx="22">
                  <c:v>13.717102357227432</c:v>
                </c:pt>
                <c:pt idx="23">
                  <c:v>15.30656950633667</c:v>
                </c:pt>
                <c:pt idx="24">
                  <c:v>16.994504836384529</c:v>
                </c:pt>
                <c:pt idx="25">
                  <c:v>17.883265076945321</c:v>
                </c:pt>
                <c:pt idx="26">
                  <c:v>16.945582828708918</c:v>
                </c:pt>
                <c:pt idx="27">
                  <c:v>18.317267919750801</c:v>
                </c:pt>
                <c:pt idx="28">
                  <c:v>20.098898414394167</c:v>
                </c:pt>
                <c:pt idx="29">
                  <c:v>21.777309685461937</c:v>
                </c:pt>
                <c:pt idx="30">
                  <c:v>23.540770726735566</c:v>
                </c:pt>
                <c:pt idx="31">
                  <c:v>25.345658153082617</c:v>
                </c:pt>
                <c:pt idx="32">
                  <c:v>26.594542276977069</c:v>
                </c:pt>
                <c:pt idx="33">
                  <c:v>26.212947444118498</c:v>
                </c:pt>
                <c:pt idx="34">
                  <c:v>27.877469652013211</c:v>
                </c:pt>
                <c:pt idx="35">
                  <c:v>29.655414348039926</c:v>
                </c:pt>
                <c:pt idx="36">
                  <c:v>31.40691872498909</c:v>
                </c:pt>
                <c:pt idx="37">
                  <c:v>33.293133085104131</c:v>
                </c:pt>
                <c:pt idx="38">
                  <c:v>34.945149912500526</c:v>
                </c:pt>
                <c:pt idx="39">
                  <c:v>35.335891490944988</c:v>
                </c:pt>
                <c:pt idx="40">
                  <c:v>36.001521757842241</c:v>
                </c:pt>
                <c:pt idx="41">
                  <c:v>37.776249494987681</c:v>
                </c:pt>
                <c:pt idx="42">
                  <c:v>39.579742129083563</c:v>
                </c:pt>
                <c:pt idx="43">
                  <c:v>41.327305371845071</c:v>
                </c:pt>
                <c:pt idx="44">
                  <c:v>42.981453570212892</c:v>
                </c:pt>
                <c:pt idx="45">
                  <c:v>43.699378721613265</c:v>
                </c:pt>
                <c:pt idx="46">
                  <c:v>42.811678266629933</c:v>
                </c:pt>
                <c:pt idx="47">
                  <c:v>44.236887106445799</c:v>
                </c:pt>
                <c:pt idx="48">
                  <c:v>45.547207398197607</c:v>
                </c:pt>
                <c:pt idx="49">
                  <c:v>46.928739026425646</c:v>
                </c:pt>
                <c:pt idx="50">
                  <c:v>48.130390786315715</c:v>
                </c:pt>
                <c:pt idx="51">
                  <c:v>47.083244064237419</c:v>
                </c:pt>
                <c:pt idx="52">
                  <c:v>45.213474680230775</c:v>
                </c:pt>
                <c:pt idx="53">
                  <c:v>43.340179713714008</c:v>
                </c:pt>
                <c:pt idx="54">
                  <c:v>41.476584468022338</c:v>
                </c:pt>
                <c:pt idx="55">
                  <c:v>39.695144030400044</c:v>
                </c:pt>
                <c:pt idx="56">
                  <c:v>37.768536845591314</c:v>
                </c:pt>
                <c:pt idx="57">
                  <c:v>36.283406207681949</c:v>
                </c:pt>
                <c:pt idx="58">
                  <c:v>37.277187766067136</c:v>
                </c:pt>
                <c:pt idx="59">
                  <c:v>37.139965704588256</c:v>
                </c:pt>
                <c:pt idx="60">
                  <c:v>35.419653496717828</c:v>
                </c:pt>
                <c:pt idx="61">
                  <c:v>33.622500949684664</c:v>
                </c:pt>
                <c:pt idx="62">
                  <c:v>31.771663124631313</c:v>
                </c:pt>
                <c:pt idx="63">
                  <c:v>29.95220375241863</c:v>
                </c:pt>
                <c:pt idx="64">
                  <c:v>29.644404231620452</c:v>
                </c:pt>
                <c:pt idx="65">
                  <c:v>30.057880177283472</c:v>
                </c:pt>
                <c:pt idx="66">
                  <c:v>28.45216706116004</c:v>
                </c:pt>
                <c:pt idx="67">
                  <c:v>26.593877705343473</c:v>
                </c:pt>
                <c:pt idx="68">
                  <c:v>24.723566146858246</c:v>
                </c:pt>
                <c:pt idx="69">
                  <c:v>22.886746202060998</c:v>
                </c:pt>
                <c:pt idx="70">
                  <c:v>21.306353252629712</c:v>
                </c:pt>
                <c:pt idx="71">
                  <c:v>21.451299616530196</c:v>
                </c:pt>
                <c:pt idx="72">
                  <c:v>20.181016219553182</c:v>
                </c:pt>
                <c:pt idx="73">
                  <c:v>18.286664782775802</c:v>
                </c:pt>
                <c:pt idx="74">
                  <c:v>16.493219574680214</c:v>
                </c:pt>
                <c:pt idx="75">
                  <c:v>14.77949539709789</c:v>
                </c:pt>
                <c:pt idx="76">
                  <c:v>13.702808877601662</c:v>
                </c:pt>
                <c:pt idx="77">
                  <c:v>11.981317988965676</c:v>
                </c:pt>
                <c:pt idx="78">
                  <c:v>10.245592776874039</c:v>
                </c:pt>
              </c:numCache>
            </c:numRef>
          </c:xVal>
          <c:yVal>
            <c:numRef>
              <c:f>Combined!$B$2:$B$80</c:f>
              <c:numCache>
                <c:formatCode>General</c:formatCode>
                <c:ptCount val="79"/>
                <c:pt idx="0">
                  <c:v>34.088539123535156</c:v>
                </c:pt>
                <c:pt idx="1">
                  <c:v>31.851467794587027</c:v>
                </c:pt>
                <c:pt idx="2">
                  <c:v>28.467178932877331</c:v>
                </c:pt>
                <c:pt idx="3">
                  <c:v>24.24344574432326</c:v>
                </c:pt>
                <c:pt idx="4">
                  <c:v>20.339242902651513</c:v>
                </c:pt>
                <c:pt idx="5">
                  <c:v>16.984474528309125</c:v>
                </c:pt>
                <c:pt idx="6">
                  <c:v>13.747956596199705</c:v>
                </c:pt>
                <c:pt idx="7">
                  <c:v>10.308883520962301</c:v>
                </c:pt>
                <c:pt idx="8">
                  <c:v>6.5361504225058846</c:v>
                </c:pt>
                <c:pt idx="9">
                  <c:v>3.5410873638604485</c:v>
                </c:pt>
                <c:pt idx="10">
                  <c:v>1.5707168579101563</c:v>
                </c:pt>
                <c:pt idx="11">
                  <c:v>2.3255512058347465</c:v>
                </c:pt>
                <c:pt idx="12">
                  <c:v>5.6972256201529046</c:v>
                </c:pt>
                <c:pt idx="13">
                  <c:v>10.133953021715399</c:v>
                </c:pt>
                <c:pt idx="14">
                  <c:v>15.344019948801691</c:v>
                </c:pt>
                <c:pt idx="15">
                  <c:v>20.225982075776543</c:v>
                </c:pt>
                <c:pt idx="16">
                  <c:v>25.072938550499821</c:v>
                </c:pt>
                <c:pt idx="17">
                  <c:v>29.845343476201815</c:v>
                </c:pt>
                <c:pt idx="18">
                  <c:v>33.398653118411595</c:v>
                </c:pt>
                <c:pt idx="19">
                  <c:v>35.474393995158721</c:v>
                </c:pt>
                <c:pt idx="20">
                  <c:v>36.066009846335994</c:v>
                </c:pt>
                <c:pt idx="21">
                  <c:v>35.769831138590391</c:v>
                </c:pt>
                <c:pt idx="22">
                  <c:v>35.455259005363949</c:v>
                </c:pt>
                <c:pt idx="23">
                  <c:v>35.842902262971393</c:v>
                </c:pt>
                <c:pt idx="24">
                  <c:v>36.035257700619155</c:v>
                </c:pt>
                <c:pt idx="25">
                  <c:v>35.084950943240329</c:v>
                </c:pt>
                <c:pt idx="26">
                  <c:v>33.378611341479697</c:v>
                </c:pt>
                <c:pt idx="27">
                  <c:v>33.019930724955231</c:v>
                </c:pt>
                <c:pt idx="28">
                  <c:v>32.703363327870534</c:v>
                </c:pt>
                <c:pt idx="29">
                  <c:v>33.009514030971381</c:v>
                </c:pt>
                <c:pt idx="30">
                  <c:v>33.172868291123009</c:v>
                </c:pt>
                <c:pt idx="31">
                  <c:v>33.009164930844605</c:v>
                </c:pt>
                <c:pt idx="32">
                  <c:v>31.671674236173779</c:v>
                </c:pt>
                <c:pt idx="33">
                  <c:v>29.81195333245698</c:v>
                </c:pt>
                <c:pt idx="34">
                  <c:v>29.166658886920537</c:v>
                </c:pt>
                <c:pt idx="35">
                  <c:v>28.957065170731589</c:v>
                </c:pt>
                <c:pt idx="36">
                  <c:v>29.095776982823249</c:v>
                </c:pt>
                <c:pt idx="37">
                  <c:v>28.983306572954454</c:v>
                </c:pt>
                <c:pt idx="38">
                  <c:v>28.015570128907889</c:v>
                </c:pt>
                <c:pt idx="39">
                  <c:v>26.465455704072674</c:v>
                </c:pt>
                <c:pt idx="40">
                  <c:v>25.269959452668687</c:v>
                </c:pt>
                <c:pt idx="41">
                  <c:v>24.475606931421474</c:v>
                </c:pt>
                <c:pt idx="42">
                  <c:v>23.929804370640937</c:v>
                </c:pt>
                <c:pt idx="43">
                  <c:v>23.273358185100172</c:v>
                </c:pt>
                <c:pt idx="44">
                  <c:v>22.312022549317874</c:v>
                </c:pt>
                <c:pt idx="45">
                  <c:v>20.781194662768701</c:v>
                </c:pt>
                <c:pt idx="46">
                  <c:v>19.471988305806214</c:v>
                </c:pt>
                <c:pt idx="47">
                  <c:v>18.209293623592014</c:v>
                </c:pt>
                <c:pt idx="48">
                  <c:v>16.771468846886783</c:v>
                </c:pt>
                <c:pt idx="49">
                  <c:v>15.41163652554642</c:v>
                </c:pt>
                <c:pt idx="50">
                  <c:v>13.926574916793129</c:v>
                </c:pt>
                <c:pt idx="51">
                  <c:v>12.639401621222433</c:v>
                </c:pt>
                <c:pt idx="52">
                  <c:v>12.055224414464671</c:v>
                </c:pt>
                <c:pt idx="53">
                  <c:v>11.498271423652163</c:v>
                </c:pt>
                <c:pt idx="54">
                  <c:v>10.919588672697003</c:v>
                </c:pt>
                <c:pt idx="55">
                  <c:v>10.366821063921238</c:v>
                </c:pt>
                <c:pt idx="56">
                  <c:v>10.07033110047027</c:v>
                </c:pt>
                <c:pt idx="57">
                  <c:v>9.507766595674541</c:v>
                </c:pt>
                <c:pt idx="58">
                  <c:v>7.9115093816551783</c:v>
                </c:pt>
                <c:pt idx="59">
                  <c:v>6.2274817200143433</c:v>
                </c:pt>
                <c:pt idx="60">
                  <c:v>5.5549839642138084</c:v>
                </c:pt>
                <c:pt idx="61">
                  <c:v>5.3383861110726079</c:v>
                </c:pt>
                <c:pt idx="62">
                  <c:v>5.5426804467216755</c:v>
                </c:pt>
                <c:pt idx="63">
                  <c:v>5.7573099561464902</c:v>
                </c:pt>
                <c:pt idx="64">
                  <c:v>4.5927911535113113</c:v>
                </c:pt>
                <c:pt idx="65">
                  <c:v>2.6961320049633604</c:v>
                </c:pt>
                <c:pt idx="66">
                  <c:v>2.0658487960736966</c:v>
                </c:pt>
                <c:pt idx="67">
                  <c:v>2.2888603001480385</c:v>
                </c:pt>
                <c:pt idx="68">
                  <c:v>2.4152321069723883</c:v>
                </c:pt>
                <c:pt idx="69">
                  <c:v>2.8764098447741135</c:v>
                </c:pt>
                <c:pt idx="70">
                  <c:v>2.4381174196466806</c:v>
                </c:pt>
                <c:pt idx="71">
                  <c:v>0.59858382331426707</c:v>
                </c:pt>
                <c:pt idx="72">
                  <c:v>-0.28505860706214498</c:v>
                </c:pt>
                <c:pt idx="73">
                  <c:v>0.16014042678031171</c:v>
                </c:pt>
                <c:pt idx="74">
                  <c:v>0.62730645024697362</c:v>
                </c:pt>
                <c:pt idx="75">
                  <c:v>0.97797817764509531</c:v>
                </c:pt>
                <c:pt idx="76">
                  <c:v>-0.22407835097434539</c:v>
                </c:pt>
                <c:pt idx="77">
                  <c:v>0.37386210053711921</c:v>
                </c:pt>
                <c:pt idx="78">
                  <c:v>1.1489184395648879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13-DAD1-4E96-A8DD-66615EDD7872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392344304"/>
        <c:axId val="392341424"/>
      </c:scatterChart>
      <c:valAx>
        <c:axId val="392344304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392341424"/>
        <c:crosses val="autoZero"/>
        <c:crossBetween val="midCat"/>
      </c:valAx>
      <c:valAx>
        <c:axId val="39234142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392344304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9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scatterChart>
        <c:scatterStyle val="smoothMarker"/>
        <c:varyColors val="0"/>
        <c:ser>
          <c:idx val="0"/>
          <c:order val="0"/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10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dPt>
            <c:idx val="0"/>
            <c:marker>
              <c:symbol val="circle"/>
              <c:size val="10"/>
              <c:spPr>
                <a:solidFill>
                  <a:srgbClr val="FF0101"/>
                </a:solidFill>
                <a:ln w="9525">
                  <a:solidFill>
                    <a:schemeClr val="accent1"/>
                  </a:solidFill>
                </a:ln>
                <a:effectLst/>
              </c:spPr>
            </c:marker>
            <c:bubble3D val="0"/>
            <c:extLst>
              <c:ext xmlns:c16="http://schemas.microsoft.com/office/drawing/2014/chart" uri="{C3380CC4-5D6E-409C-BE32-E72D297353CC}">
                <c16:uniqueId val="{00000000-FC3A-430B-9463-E6DE35401103}"/>
              </c:ext>
            </c:extLst>
          </c:dPt>
          <c:dPt>
            <c:idx val="1"/>
            <c:marker>
              <c:symbol val="circle"/>
              <c:size val="10"/>
              <c:spPr>
                <a:solidFill>
                  <a:srgbClr val="FF0D01"/>
                </a:solidFill>
                <a:ln w="9525">
                  <a:solidFill>
                    <a:schemeClr val="accent1"/>
                  </a:solidFill>
                </a:ln>
                <a:effectLst/>
              </c:spPr>
            </c:marker>
            <c:bubble3D val="0"/>
            <c:extLst>
              <c:ext xmlns:c16="http://schemas.microsoft.com/office/drawing/2014/chart" uri="{C3380CC4-5D6E-409C-BE32-E72D297353CC}">
                <c16:uniqueId val="{00000001-FC3A-430B-9463-E6DE35401103}"/>
              </c:ext>
            </c:extLst>
          </c:dPt>
          <c:dPt>
            <c:idx val="2"/>
            <c:marker>
              <c:symbol val="circle"/>
              <c:size val="10"/>
              <c:spPr>
                <a:solidFill>
                  <a:srgbClr val="FF1F01"/>
                </a:solidFill>
                <a:ln w="9525">
                  <a:solidFill>
                    <a:schemeClr val="accent1"/>
                  </a:solidFill>
                </a:ln>
                <a:effectLst/>
              </c:spPr>
            </c:marker>
            <c:bubble3D val="0"/>
            <c:extLst>
              <c:ext xmlns:c16="http://schemas.microsoft.com/office/drawing/2014/chart" uri="{C3380CC4-5D6E-409C-BE32-E72D297353CC}">
                <c16:uniqueId val="{00000002-FC3A-430B-9463-E6DE35401103}"/>
              </c:ext>
            </c:extLst>
          </c:dPt>
          <c:dPt>
            <c:idx val="3"/>
            <c:marker>
              <c:symbol val="circle"/>
              <c:size val="10"/>
              <c:spPr>
                <a:solidFill>
                  <a:srgbClr val="FF2B01"/>
                </a:solidFill>
                <a:ln w="9525">
                  <a:solidFill>
                    <a:schemeClr val="accent1"/>
                  </a:solidFill>
                </a:ln>
                <a:effectLst/>
              </c:spPr>
            </c:marker>
            <c:bubble3D val="0"/>
            <c:extLst>
              <c:ext xmlns:c16="http://schemas.microsoft.com/office/drawing/2014/chart" uri="{C3380CC4-5D6E-409C-BE32-E72D297353CC}">
                <c16:uniqueId val="{00000003-FC3A-430B-9463-E6DE35401103}"/>
              </c:ext>
            </c:extLst>
          </c:dPt>
          <c:dPt>
            <c:idx val="4"/>
            <c:marker>
              <c:symbol val="circle"/>
              <c:size val="10"/>
              <c:spPr>
                <a:solidFill>
                  <a:srgbClr val="FF3D01"/>
                </a:solidFill>
                <a:ln w="9525">
                  <a:solidFill>
                    <a:schemeClr val="accent1"/>
                  </a:solidFill>
                </a:ln>
                <a:effectLst/>
              </c:spPr>
            </c:marker>
            <c:bubble3D val="0"/>
            <c:extLst>
              <c:ext xmlns:c16="http://schemas.microsoft.com/office/drawing/2014/chart" uri="{C3380CC4-5D6E-409C-BE32-E72D297353CC}">
                <c16:uniqueId val="{00000004-FC3A-430B-9463-E6DE35401103}"/>
              </c:ext>
            </c:extLst>
          </c:dPt>
          <c:dPt>
            <c:idx val="5"/>
            <c:marker>
              <c:symbol val="circle"/>
              <c:size val="10"/>
              <c:spPr>
                <a:solidFill>
                  <a:srgbClr val="FF4901"/>
                </a:solidFill>
                <a:ln w="9525">
                  <a:solidFill>
                    <a:schemeClr val="accent1"/>
                  </a:solidFill>
                </a:ln>
                <a:effectLst/>
              </c:spPr>
            </c:marker>
            <c:bubble3D val="0"/>
            <c:extLst>
              <c:ext xmlns:c16="http://schemas.microsoft.com/office/drawing/2014/chart" uri="{C3380CC4-5D6E-409C-BE32-E72D297353CC}">
                <c16:uniqueId val="{00000005-FC3A-430B-9463-E6DE35401103}"/>
              </c:ext>
            </c:extLst>
          </c:dPt>
          <c:dPt>
            <c:idx val="6"/>
            <c:marker>
              <c:symbol val="circle"/>
              <c:size val="10"/>
              <c:spPr>
                <a:solidFill>
                  <a:srgbClr val="FF5B01"/>
                </a:solidFill>
                <a:ln w="9525">
                  <a:solidFill>
                    <a:schemeClr val="accent1"/>
                  </a:solidFill>
                </a:ln>
                <a:effectLst/>
              </c:spPr>
            </c:marker>
            <c:bubble3D val="0"/>
            <c:extLst>
              <c:ext xmlns:c16="http://schemas.microsoft.com/office/drawing/2014/chart" uri="{C3380CC4-5D6E-409C-BE32-E72D297353CC}">
                <c16:uniqueId val="{00000006-FC3A-430B-9463-E6DE35401103}"/>
              </c:ext>
            </c:extLst>
          </c:dPt>
          <c:dPt>
            <c:idx val="7"/>
            <c:marker>
              <c:symbol val="circle"/>
              <c:size val="10"/>
              <c:spPr>
                <a:solidFill>
                  <a:srgbClr val="FF6701"/>
                </a:solidFill>
                <a:ln w="9525">
                  <a:solidFill>
                    <a:schemeClr val="accent1"/>
                  </a:solidFill>
                </a:ln>
                <a:effectLst/>
              </c:spPr>
            </c:marker>
            <c:bubble3D val="0"/>
            <c:extLst>
              <c:ext xmlns:c16="http://schemas.microsoft.com/office/drawing/2014/chart" uri="{C3380CC4-5D6E-409C-BE32-E72D297353CC}">
                <c16:uniqueId val="{00000007-FC3A-430B-9463-E6DE35401103}"/>
              </c:ext>
            </c:extLst>
          </c:dPt>
          <c:dPt>
            <c:idx val="8"/>
            <c:marker>
              <c:symbol val="circle"/>
              <c:size val="10"/>
              <c:spPr>
                <a:solidFill>
                  <a:srgbClr val="FF7901"/>
                </a:solidFill>
                <a:ln w="9525">
                  <a:solidFill>
                    <a:schemeClr val="accent1"/>
                  </a:solidFill>
                </a:ln>
                <a:effectLst/>
              </c:spPr>
            </c:marker>
            <c:bubble3D val="0"/>
            <c:extLst>
              <c:ext xmlns:c16="http://schemas.microsoft.com/office/drawing/2014/chart" uri="{C3380CC4-5D6E-409C-BE32-E72D297353CC}">
                <c16:uniqueId val="{00000008-FC3A-430B-9463-E6DE35401103}"/>
              </c:ext>
            </c:extLst>
          </c:dPt>
          <c:dPt>
            <c:idx val="9"/>
            <c:marker>
              <c:symbol val="circle"/>
              <c:size val="10"/>
              <c:spPr>
                <a:solidFill>
                  <a:srgbClr val="FF8401"/>
                </a:solidFill>
                <a:ln w="9525">
                  <a:solidFill>
                    <a:schemeClr val="accent1"/>
                  </a:solidFill>
                </a:ln>
                <a:effectLst/>
              </c:spPr>
            </c:marker>
            <c:bubble3D val="0"/>
            <c:extLst>
              <c:ext xmlns:c16="http://schemas.microsoft.com/office/drawing/2014/chart" uri="{C3380CC4-5D6E-409C-BE32-E72D297353CC}">
                <c16:uniqueId val="{00000009-FC3A-430B-9463-E6DE35401103}"/>
              </c:ext>
            </c:extLst>
          </c:dPt>
          <c:dPt>
            <c:idx val="10"/>
            <c:marker>
              <c:symbol val="circle"/>
              <c:size val="10"/>
              <c:spPr>
                <a:solidFill>
                  <a:srgbClr val="FF9601"/>
                </a:solidFill>
                <a:ln w="9525">
                  <a:solidFill>
                    <a:schemeClr val="accent1"/>
                  </a:solidFill>
                </a:ln>
                <a:effectLst/>
              </c:spPr>
            </c:marker>
            <c:bubble3D val="0"/>
            <c:extLst>
              <c:ext xmlns:c16="http://schemas.microsoft.com/office/drawing/2014/chart" uri="{C3380CC4-5D6E-409C-BE32-E72D297353CC}">
                <c16:uniqueId val="{0000000A-FC3A-430B-9463-E6DE35401103}"/>
              </c:ext>
            </c:extLst>
          </c:dPt>
          <c:dPt>
            <c:idx val="11"/>
            <c:marker>
              <c:symbol val="circle"/>
              <c:size val="10"/>
              <c:spPr>
                <a:solidFill>
                  <a:srgbClr val="FFA201"/>
                </a:solidFill>
                <a:ln w="9525">
                  <a:solidFill>
                    <a:schemeClr val="accent1"/>
                  </a:solidFill>
                </a:ln>
                <a:effectLst/>
              </c:spPr>
            </c:marker>
            <c:bubble3D val="0"/>
            <c:extLst>
              <c:ext xmlns:c16="http://schemas.microsoft.com/office/drawing/2014/chart" uri="{C3380CC4-5D6E-409C-BE32-E72D297353CC}">
                <c16:uniqueId val="{0000000B-FC3A-430B-9463-E6DE35401103}"/>
              </c:ext>
            </c:extLst>
          </c:dPt>
          <c:dPt>
            <c:idx val="12"/>
            <c:marker>
              <c:symbol val="circle"/>
              <c:size val="10"/>
              <c:spPr>
                <a:solidFill>
                  <a:srgbClr val="FFB401"/>
                </a:solidFill>
                <a:ln w="9525">
                  <a:solidFill>
                    <a:schemeClr val="accent1"/>
                  </a:solidFill>
                </a:ln>
                <a:effectLst/>
              </c:spPr>
            </c:marker>
            <c:bubble3D val="0"/>
            <c:extLst>
              <c:ext xmlns:c16="http://schemas.microsoft.com/office/drawing/2014/chart" uri="{C3380CC4-5D6E-409C-BE32-E72D297353CC}">
                <c16:uniqueId val="{0000000C-FC3A-430B-9463-E6DE35401103}"/>
              </c:ext>
            </c:extLst>
          </c:dPt>
          <c:dPt>
            <c:idx val="13"/>
            <c:marker>
              <c:symbol val="circle"/>
              <c:size val="10"/>
              <c:spPr>
                <a:solidFill>
                  <a:srgbClr val="FFC001"/>
                </a:solidFill>
                <a:ln w="9525">
                  <a:solidFill>
                    <a:schemeClr val="accent1"/>
                  </a:solidFill>
                </a:ln>
                <a:effectLst/>
              </c:spPr>
            </c:marker>
            <c:bubble3D val="0"/>
            <c:extLst>
              <c:ext xmlns:c16="http://schemas.microsoft.com/office/drawing/2014/chart" uri="{C3380CC4-5D6E-409C-BE32-E72D297353CC}">
                <c16:uniqueId val="{0000000D-FC3A-430B-9463-E6DE35401103}"/>
              </c:ext>
            </c:extLst>
          </c:dPt>
          <c:dPt>
            <c:idx val="14"/>
            <c:marker>
              <c:symbol val="circle"/>
              <c:size val="10"/>
              <c:spPr>
                <a:solidFill>
                  <a:srgbClr val="FFD201"/>
                </a:solidFill>
                <a:ln w="9525">
                  <a:solidFill>
                    <a:schemeClr val="accent1"/>
                  </a:solidFill>
                </a:ln>
                <a:effectLst/>
              </c:spPr>
            </c:marker>
            <c:bubble3D val="0"/>
            <c:extLst>
              <c:ext xmlns:c16="http://schemas.microsoft.com/office/drawing/2014/chart" uri="{C3380CC4-5D6E-409C-BE32-E72D297353CC}">
                <c16:uniqueId val="{0000000E-FC3A-430B-9463-E6DE35401103}"/>
              </c:ext>
            </c:extLst>
          </c:dPt>
          <c:dPt>
            <c:idx val="15"/>
            <c:marker>
              <c:symbol val="circle"/>
              <c:size val="10"/>
              <c:spPr>
                <a:solidFill>
                  <a:srgbClr val="FFDE01"/>
                </a:solidFill>
                <a:ln w="9525">
                  <a:solidFill>
                    <a:schemeClr val="accent1"/>
                  </a:solidFill>
                </a:ln>
                <a:effectLst/>
              </c:spPr>
            </c:marker>
            <c:bubble3D val="0"/>
            <c:extLst>
              <c:ext xmlns:c16="http://schemas.microsoft.com/office/drawing/2014/chart" uri="{C3380CC4-5D6E-409C-BE32-E72D297353CC}">
                <c16:uniqueId val="{0000000F-FC3A-430B-9463-E6DE35401103}"/>
              </c:ext>
            </c:extLst>
          </c:dPt>
          <c:dPt>
            <c:idx val="16"/>
            <c:marker>
              <c:symbol val="circle"/>
              <c:size val="10"/>
              <c:spPr>
                <a:solidFill>
                  <a:srgbClr val="FFF001"/>
                </a:solidFill>
                <a:ln w="9525">
                  <a:solidFill>
                    <a:schemeClr val="accent1"/>
                  </a:solidFill>
                </a:ln>
                <a:effectLst/>
              </c:spPr>
            </c:marker>
            <c:bubble3D val="0"/>
            <c:extLst>
              <c:ext xmlns:c16="http://schemas.microsoft.com/office/drawing/2014/chart" uri="{C3380CC4-5D6E-409C-BE32-E72D297353CC}">
                <c16:uniqueId val="{00000010-FC3A-430B-9463-E6DE35401103}"/>
              </c:ext>
            </c:extLst>
          </c:dPt>
          <c:dPt>
            <c:idx val="17"/>
            <c:marker>
              <c:symbol val="circle"/>
              <c:size val="10"/>
              <c:spPr>
                <a:solidFill>
                  <a:srgbClr val="FFFC01"/>
                </a:solidFill>
                <a:ln w="9525">
                  <a:solidFill>
                    <a:schemeClr val="accent1"/>
                  </a:solidFill>
                </a:ln>
                <a:effectLst/>
              </c:spPr>
            </c:marker>
            <c:bubble3D val="0"/>
            <c:extLst>
              <c:ext xmlns:c16="http://schemas.microsoft.com/office/drawing/2014/chart" uri="{C3380CC4-5D6E-409C-BE32-E72D297353CC}">
                <c16:uniqueId val="{00000011-FC3A-430B-9463-E6DE35401103}"/>
              </c:ext>
            </c:extLst>
          </c:dPt>
          <c:dPt>
            <c:idx val="18"/>
            <c:marker>
              <c:symbol val="circle"/>
              <c:size val="10"/>
              <c:spPr>
                <a:solidFill>
                  <a:srgbClr val="F0FF01"/>
                </a:solidFill>
                <a:ln w="9525">
                  <a:solidFill>
                    <a:schemeClr val="accent1"/>
                  </a:solidFill>
                </a:ln>
                <a:effectLst/>
              </c:spPr>
            </c:marker>
            <c:bubble3D val="0"/>
            <c:extLst>
              <c:ext xmlns:c16="http://schemas.microsoft.com/office/drawing/2014/chart" uri="{C3380CC4-5D6E-409C-BE32-E72D297353CC}">
                <c16:uniqueId val="{00000012-FC3A-430B-9463-E6DE35401103}"/>
              </c:ext>
            </c:extLst>
          </c:dPt>
          <c:dPt>
            <c:idx val="19"/>
            <c:marker>
              <c:symbol val="circle"/>
              <c:size val="10"/>
              <c:spPr>
                <a:solidFill>
                  <a:srgbClr val="E4FF01"/>
                </a:solidFill>
                <a:ln w="9525">
                  <a:solidFill>
                    <a:schemeClr val="accent1"/>
                  </a:solidFill>
                </a:ln>
                <a:effectLst/>
              </c:spPr>
            </c:marker>
            <c:bubble3D val="0"/>
            <c:extLst>
              <c:ext xmlns:c16="http://schemas.microsoft.com/office/drawing/2014/chart" uri="{C3380CC4-5D6E-409C-BE32-E72D297353CC}">
                <c16:uniqueId val="{00000013-FC3A-430B-9463-E6DE35401103}"/>
              </c:ext>
            </c:extLst>
          </c:dPt>
          <c:dPt>
            <c:idx val="20"/>
            <c:marker>
              <c:symbol val="circle"/>
              <c:size val="10"/>
              <c:spPr>
                <a:solidFill>
                  <a:srgbClr val="D2FF01"/>
                </a:solidFill>
                <a:ln w="9525">
                  <a:solidFill>
                    <a:schemeClr val="accent1"/>
                  </a:solidFill>
                </a:ln>
                <a:effectLst/>
              </c:spPr>
            </c:marker>
            <c:bubble3D val="0"/>
            <c:extLst>
              <c:ext xmlns:c16="http://schemas.microsoft.com/office/drawing/2014/chart" uri="{C3380CC4-5D6E-409C-BE32-E72D297353CC}">
                <c16:uniqueId val="{00000015-FC3A-430B-9463-E6DE35401103}"/>
              </c:ext>
            </c:extLst>
          </c:dPt>
          <c:dPt>
            <c:idx val="21"/>
            <c:marker>
              <c:symbol val="circle"/>
              <c:size val="10"/>
              <c:spPr>
                <a:solidFill>
                  <a:srgbClr val="C6FF01"/>
                </a:solidFill>
                <a:ln w="9525">
                  <a:solidFill>
                    <a:schemeClr val="accent1"/>
                  </a:solidFill>
                </a:ln>
                <a:effectLst/>
              </c:spPr>
            </c:marker>
            <c:bubble3D val="0"/>
            <c:extLst>
              <c:ext xmlns:c16="http://schemas.microsoft.com/office/drawing/2014/chart" uri="{C3380CC4-5D6E-409C-BE32-E72D297353CC}">
                <c16:uniqueId val="{00000016-FC3A-430B-9463-E6DE35401103}"/>
              </c:ext>
            </c:extLst>
          </c:dPt>
          <c:dPt>
            <c:idx val="22"/>
            <c:marker>
              <c:symbol val="circle"/>
              <c:size val="10"/>
              <c:spPr>
                <a:solidFill>
                  <a:srgbClr val="B4FF01"/>
                </a:solidFill>
                <a:ln w="9525">
                  <a:solidFill>
                    <a:schemeClr val="accent1"/>
                  </a:solidFill>
                </a:ln>
                <a:effectLst/>
              </c:spPr>
            </c:marker>
            <c:bubble3D val="0"/>
            <c:extLst>
              <c:ext xmlns:c16="http://schemas.microsoft.com/office/drawing/2014/chart" uri="{C3380CC4-5D6E-409C-BE32-E72D297353CC}">
                <c16:uniqueId val="{00000017-FC3A-430B-9463-E6DE35401103}"/>
              </c:ext>
            </c:extLst>
          </c:dPt>
          <c:dPt>
            <c:idx val="23"/>
            <c:marker>
              <c:symbol val="circle"/>
              <c:size val="10"/>
              <c:spPr>
                <a:solidFill>
                  <a:srgbClr val="A8FF01"/>
                </a:solidFill>
                <a:ln w="9525">
                  <a:solidFill>
                    <a:schemeClr val="accent1"/>
                  </a:solidFill>
                </a:ln>
                <a:effectLst/>
              </c:spPr>
            </c:marker>
            <c:bubble3D val="0"/>
            <c:extLst>
              <c:ext xmlns:c16="http://schemas.microsoft.com/office/drawing/2014/chart" uri="{C3380CC4-5D6E-409C-BE32-E72D297353CC}">
                <c16:uniqueId val="{00000018-FC3A-430B-9463-E6DE35401103}"/>
              </c:ext>
            </c:extLst>
          </c:dPt>
          <c:dPt>
            <c:idx val="24"/>
            <c:marker>
              <c:symbol val="circle"/>
              <c:size val="10"/>
              <c:spPr>
                <a:solidFill>
                  <a:srgbClr val="96FF01"/>
                </a:solidFill>
                <a:ln w="9525">
                  <a:solidFill>
                    <a:schemeClr val="accent1"/>
                  </a:solidFill>
                </a:ln>
                <a:effectLst/>
              </c:spPr>
            </c:marker>
            <c:bubble3D val="0"/>
            <c:extLst>
              <c:ext xmlns:c16="http://schemas.microsoft.com/office/drawing/2014/chart" uri="{C3380CC4-5D6E-409C-BE32-E72D297353CC}">
                <c16:uniqueId val="{00000019-FC3A-430B-9463-E6DE35401103}"/>
              </c:ext>
            </c:extLst>
          </c:dPt>
          <c:dPt>
            <c:idx val="25"/>
            <c:marker>
              <c:symbol val="circle"/>
              <c:size val="10"/>
              <c:spPr>
                <a:solidFill>
                  <a:srgbClr val="8AFF01"/>
                </a:solidFill>
                <a:ln w="9525">
                  <a:solidFill>
                    <a:schemeClr val="accent1"/>
                  </a:solidFill>
                </a:ln>
                <a:effectLst/>
              </c:spPr>
            </c:marker>
            <c:bubble3D val="0"/>
            <c:extLst>
              <c:ext xmlns:c16="http://schemas.microsoft.com/office/drawing/2014/chart" uri="{C3380CC4-5D6E-409C-BE32-E72D297353CC}">
                <c16:uniqueId val="{0000001A-FC3A-430B-9463-E6DE35401103}"/>
              </c:ext>
            </c:extLst>
          </c:dPt>
          <c:dPt>
            <c:idx val="26"/>
            <c:marker>
              <c:symbol val="circle"/>
              <c:size val="10"/>
              <c:spPr>
                <a:solidFill>
                  <a:srgbClr val="79FF01"/>
                </a:solidFill>
                <a:ln w="9525">
                  <a:solidFill>
                    <a:schemeClr val="accent1"/>
                  </a:solidFill>
                </a:ln>
                <a:effectLst/>
              </c:spPr>
            </c:marker>
            <c:bubble3D val="0"/>
            <c:extLst>
              <c:ext xmlns:c16="http://schemas.microsoft.com/office/drawing/2014/chart" uri="{C3380CC4-5D6E-409C-BE32-E72D297353CC}">
                <c16:uniqueId val="{0000001B-FC3A-430B-9463-E6DE35401103}"/>
              </c:ext>
            </c:extLst>
          </c:dPt>
          <c:dPt>
            <c:idx val="27"/>
            <c:marker>
              <c:symbol val="circle"/>
              <c:size val="10"/>
              <c:spPr>
                <a:solidFill>
                  <a:srgbClr val="6DFF01"/>
                </a:solidFill>
                <a:ln w="9525">
                  <a:solidFill>
                    <a:schemeClr val="accent1"/>
                  </a:solidFill>
                </a:ln>
                <a:effectLst/>
              </c:spPr>
            </c:marker>
            <c:bubble3D val="0"/>
            <c:extLst>
              <c:ext xmlns:c16="http://schemas.microsoft.com/office/drawing/2014/chart" uri="{C3380CC4-5D6E-409C-BE32-E72D297353CC}">
                <c16:uniqueId val="{0000001C-FC3A-430B-9463-E6DE35401103}"/>
              </c:ext>
            </c:extLst>
          </c:dPt>
          <c:dPt>
            <c:idx val="28"/>
            <c:marker>
              <c:symbol val="circle"/>
              <c:size val="10"/>
              <c:spPr>
                <a:solidFill>
                  <a:srgbClr val="5BFF01"/>
                </a:solidFill>
                <a:ln w="9525">
                  <a:solidFill>
                    <a:schemeClr val="accent1"/>
                  </a:solidFill>
                </a:ln>
                <a:effectLst/>
              </c:spPr>
            </c:marker>
            <c:bubble3D val="0"/>
            <c:extLst>
              <c:ext xmlns:c16="http://schemas.microsoft.com/office/drawing/2014/chart" uri="{C3380CC4-5D6E-409C-BE32-E72D297353CC}">
                <c16:uniqueId val="{0000001D-FC3A-430B-9463-E6DE35401103}"/>
              </c:ext>
            </c:extLst>
          </c:dPt>
          <c:dPt>
            <c:idx val="29"/>
            <c:marker>
              <c:symbol val="circle"/>
              <c:size val="10"/>
              <c:spPr>
                <a:solidFill>
                  <a:srgbClr val="4FFF01"/>
                </a:solidFill>
                <a:ln w="9525">
                  <a:solidFill>
                    <a:schemeClr val="accent1"/>
                  </a:solidFill>
                </a:ln>
                <a:effectLst/>
              </c:spPr>
            </c:marker>
            <c:bubble3D val="0"/>
            <c:extLst>
              <c:ext xmlns:c16="http://schemas.microsoft.com/office/drawing/2014/chart" uri="{C3380CC4-5D6E-409C-BE32-E72D297353CC}">
                <c16:uniqueId val="{0000001E-FC3A-430B-9463-E6DE35401103}"/>
              </c:ext>
            </c:extLst>
          </c:dPt>
          <c:dPt>
            <c:idx val="30"/>
            <c:marker>
              <c:symbol val="circle"/>
              <c:size val="10"/>
              <c:spPr>
                <a:solidFill>
                  <a:srgbClr val="3DFF01"/>
                </a:solidFill>
                <a:ln w="9525">
                  <a:solidFill>
                    <a:schemeClr val="accent1"/>
                  </a:solidFill>
                </a:ln>
                <a:effectLst/>
              </c:spPr>
            </c:marker>
            <c:bubble3D val="0"/>
            <c:extLst>
              <c:ext xmlns:c16="http://schemas.microsoft.com/office/drawing/2014/chart" uri="{C3380CC4-5D6E-409C-BE32-E72D297353CC}">
                <c16:uniqueId val="{0000001F-FC3A-430B-9463-E6DE35401103}"/>
              </c:ext>
            </c:extLst>
          </c:dPt>
          <c:dPt>
            <c:idx val="31"/>
            <c:marker>
              <c:symbol val="circle"/>
              <c:size val="10"/>
              <c:spPr>
                <a:solidFill>
                  <a:srgbClr val="31FF01"/>
                </a:solidFill>
                <a:ln w="9525">
                  <a:solidFill>
                    <a:schemeClr val="accent1"/>
                  </a:solidFill>
                </a:ln>
                <a:effectLst/>
              </c:spPr>
            </c:marker>
            <c:bubble3D val="0"/>
            <c:extLst>
              <c:ext xmlns:c16="http://schemas.microsoft.com/office/drawing/2014/chart" uri="{C3380CC4-5D6E-409C-BE32-E72D297353CC}">
                <c16:uniqueId val="{00000020-FC3A-430B-9463-E6DE35401103}"/>
              </c:ext>
            </c:extLst>
          </c:dPt>
          <c:dPt>
            <c:idx val="32"/>
            <c:marker>
              <c:symbol val="circle"/>
              <c:size val="10"/>
              <c:spPr>
                <a:solidFill>
                  <a:srgbClr val="1FFF01"/>
                </a:solidFill>
                <a:ln w="9525">
                  <a:solidFill>
                    <a:schemeClr val="accent1"/>
                  </a:solidFill>
                </a:ln>
                <a:effectLst/>
              </c:spPr>
            </c:marker>
            <c:bubble3D val="0"/>
            <c:extLst>
              <c:ext xmlns:c16="http://schemas.microsoft.com/office/drawing/2014/chart" uri="{C3380CC4-5D6E-409C-BE32-E72D297353CC}">
                <c16:uniqueId val="{00000021-FC3A-430B-9463-E6DE35401103}"/>
              </c:ext>
            </c:extLst>
          </c:dPt>
          <c:dPt>
            <c:idx val="33"/>
            <c:marker>
              <c:symbol val="circle"/>
              <c:size val="10"/>
              <c:spPr>
                <a:solidFill>
                  <a:srgbClr val="13FF01"/>
                </a:solidFill>
                <a:ln w="9525">
                  <a:solidFill>
                    <a:schemeClr val="accent1"/>
                  </a:solidFill>
                </a:ln>
                <a:effectLst/>
              </c:spPr>
            </c:marker>
            <c:bubble3D val="0"/>
            <c:extLst>
              <c:ext xmlns:c16="http://schemas.microsoft.com/office/drawing/2014/chart" uri="{C3380CC4-5D6E-409C-BE32-E72D297353CC}">
                <c16:uniqueId val="{00000022-FC3A-430B-9463-E6DE35401103}"/>
              </c:ext>
            </c:extLst>
          </c:dPt>
          <c:dPt>
            <c:idx val="34"/>
            <c:marker>
              <c:symbol val="circle"/>
              <c:size val="10"/>
              <c:spPr>
                <a:solidFill>
                  <a:srgbClr val="01FF01"/>
                </a:solidFill>
                <a:ln w="9525">
                  <a:solidFill>
                    <a:schemeClr val="accent1"/>
                  </a:solidFill>
                </a:ln>
                <a:effectLst/>
              </c:spPr>
            </c:marker>
            <c:bubble3D val="0"/>
            <c:extLst>
              <c:ext xmlns:c16="http://schemas.microsoft.com/office/drawing/2014/chart" uri="{C3380CC4-5D6E-409C-BE32-E72D297353CC}">
                <c16:uniqueId val="{00000023-FC3A-430B-9463-E6DE35401103}"/>
              </c:ext>
            </c:extLst>
          </c:dPt>
          <c:dPt>
            <c:idx val="35"/>
            <c:marker>
              <c:symbol val="circle"/>
              <c:size val="10"/>
              <c:spPr>
                <a:solidFill>
                  <a:srgbClr val="01FF0D"/>
                </a:solidFill>
                <a:ln w="9525">
                  <a:solidFill>
                    <a:schemeClr val="accent1"/>
                  </a:solidFill>
                </a:ln>
                <a:effectLst/>
              </c:spPr>
            </c:marker>
            <c:bubble3D val="0"/>
            <c:extLst>
              <c:ext xmlns:c16="http://schemas.microsoft.com/office/drawing/2014/chart" uri="{C3380CC4-5D6E-409C-BE32-E72D297353CC}">
                <c16:uniqueId val="{00000024-FC3A-430B-9463-E6DE35401103}"/>
              </c:ext>
            </c:extLst>
          </c:dPt>
          <c:dPt>
            <c:idx val="36"/>
            <c:marker>
              <c:symbol val="circle"/>
              <c:size val="10"/>
              <c:spPr>
                <a:solidFill>
                  <a:srgbClr val="01FF1F"/>
                </a:solidFill>
                <a:ln w="9525">
                  <a:solidFill>
                    <a:schemeClr val="accent1"/>
                  </a:solidFill>
                </a:ln>
                <a:effectLst/>
              </c:spPr>
            </c:marker>
            <c:bubble3D val="0"/>
            <c:extLst>
              <c:ext xmlns:c16="http://schemas.microsoft.com/office/drawing/2014/chart" uri="{C3380CC4-5D6E-409C-BE32-E72D297353CC}">
                <c16:uniqueId val="{00000025-FC3A-430B-9463-E6DE35401103}"/>
              </c:ext>
            </c:extLst>
          </c:dPt>
          <c:dPt>
            <c:idx val="37"/>
            <c:marker>
              <c:symbol val="circle"/>
              <c:size val="10"/>
              <c:spPr>
                <a:solidFill>
                  <a:srgbClr val="01FF2B"/>
                </a:solidFill>
                <a:ln w="9525">
                  <a:solidFill>
                    <a:schemeClr val="accent1"/>
                  </a:solidFill>
                </a:ln>
                <a:effectLst/>
              </c:spPr>
            </c:marker>
            <c:bubble3D val="0"/>
            <c:extLst>
              <c:ext xmlns:c16="http://schemas.microsoft.com/office/drawing/2014/chart" uri="{C3380CC4-5D6E-409C-BE32-E72D297353CC}">
                <c16:uniqueId val="{00000026-FC3A-430B-9463-E6DE35401103}"/>
              </c:ext>
            </c:extLst>
          </c:dPt>
          <c:dPt>
            <c:idx val="38"/>
            <c:marker>
              <c:symbol val="circle"/>
              <c:size val="10"/>
              <c:spPr>
                <a:solidFill>
                  <a:srgbClr val="01FF3D"/>
                </a:solidFill>
                <a:ln w="9525">
                  <a:solidFill>
                    <a:schemeClr val="accent1"/>
                  </a:solidFill>
                </a:ln>
                <a:effectLst/>
              </c:spPr>
            </c:marker>
            <c:bubble3D val="0"/>
            <c:extLst>
              <c:ext xmlns:c16="http://schemas.microsoft.com/office/drawing/2014/chart" uri="{C3380CC4-5D6E-409C-BE32-E72D297353CC}">
                <c16:uniqueId val="{00000027-FC3A-430B-9463-E6DE35401103}"/>
              </c:ext>
            </c:extLst>
          </c:dPt>
          <c:dPt>
            <c:idx val="39"/>
            <c:marker>
              <c:symbol val="circle"/>
              <c:size val="10"/>
              <c:spPr>
                <a:solidFill>
                  <a:srgbClr val="01FF49"/>
                </a:solidFill>
                <a:ln w="9525">
                  <a:solidFill>
                    <a:schemeClr val="accent1"/>
                  </a:solidFill>
                </a:ln>
                <a:effectLst/>
              </c:spPr>
            </c:marker>
            <c:bubble3D val="0"/>
            <c:extLst>
              <c:ext xmlns:c16="http://schemas.microsoft.com/office/drawing/2014/chart" uri="{C3380CC4-5D6E-409C-BE32-E72D297353CC}">
                <c16:uniqueId val="{00000027-7914-4E93-8970-84F3611058F6}"/>
              </c:ext>
            </c:extLst>
          </c:dPt>
          <c:dPt>
            <c:idx val="40"/>
            <c:marker>
              <c:symbol val="circle"/>
              <c:size val="10"/>
              <c:spPr>
                <a:solidFill>
                  <a:srgbClr val="01FF5B"/>
                </a:solidFill>
                <a:ln w="9525">
                  <a:solidFill>
                    <a:schemeClr val="accent1"/>
                  </a:solidFill>
                </a:ln>
                <a:effectLst/>
              </c:spPr>
            </c:marker>
            <c:bubble3D val="0"/>
            <c:extLst>
              <c:ext xmlns:c16="http://schemas.microsoft.com/office/drawing/2014/chart" uri="{C3380CC4-5D6E-409C-BE32-E72D297353CC}">
                <c16:uniqueId val="{00000028-7914-4E93-8970-84F3611058F6}"/>
              </c:ext>
            </c:extLst>
          </c:dPt>
          <c:dPt>
            <c:idx val="41"/>
            <c:marker>
              <c:symbol val="circle"/>
              <c:size val="10"/>
              <c:spPr>
                <a:solidFill>
                  <a:srgbClr val="01FF67"/>
                </a:solidFill>
                <a:ln w="9525">
                  <a:solidFill>
                    <a:schemeClr val="accent1"/>
                  </a:solidFill>
                </a:ln>
                <a:effectLst/>
              </c:spPr>
            </c:marker>
            <c:bubble3D val="0"/>
            <c:extLst>
              <c:ext xmlns:c16="http://schemas.microsoft.com/office/drawing/2014/chart" uri="{C3380CC4-5D6E-409C-BE32-E72D297353CC}">
                <c16:uniqueId val="{00000029-7914-4E93-8970-84F3611058F6}"/>
              </c:ext>
            </c:extLst>
          </c:dPt>
          <c:dPt>
            <c:idx val="42"/>
            <c:marker>
              <c:symbol val="circle"/>
              <c:size val="10"/>
              <c:spPr>
                <a:solidFill>
                  <a:srgbClr val="01FF79"/>
                </a:solidFill>
                <a:ln w="9525">
                  <a:solidFill>
                    <a:schemeClr val="accent1"/>
                  </a:solidFill>
                </a:ln>
                <a:effectLst/>
              </c:spPr>
            </c:marker>
            <c:bubble3D val="0"/>
            <c:extLst>
              <c:ext xmlns:c16="http://schemas.microsoft.com/office/drawing/2014/chart" uri="{C3380CC4-5D6E-409C-BE32-E72D297353CC}">
                <c16:uniqueId val="{0000002A-7914-4E93-8970-84F3611058F6}"/>
              </c:ext>
            </c:extLst>
          </c:dPt>
          <c:dPt>
            <c:idx val="43"/>
            <c:marker>
              <c:symbol val="circle"/>
              <c:size val="10"/>
              <c:spPr>
                <a:solidFill>
                  <a:srgbClr val="01FF84"/>
                </a:solidFill>
                <a:ln w="9525">
                  <a:solidFill>
                    <a:schemeClr val="accent1"/>
                  </a:solidFill>
                </a:ln>
                <a:effectLst/>
              </c:spPr>
            </c:marker>
            <c:bubble3D val="0"/>
            <c:extLst>
              <c:ext xmlns:c16="http://schemas.microsoft.com/office/drawing/2014/chart" uri="{C3380CC4-5D6E-409C-BE32-E72D297353CC}">
                <c16:uniqueId val="{0000002B-7914-4E93-8970-84F3611058F6}"/>
              </c:ext>
            </c:extLst>
          </c:dPt>
          <c:dPt>
            <c:idx val="44"/>
            <c:marker>
              <c:symbol val="circle"/>
              <c:size val="10"/>
              <c:spPr>
                <a:solidFill>
                  <a:srgbClr val="01FF96"/>
                </a:solidFill>
                <a:ln w="9525">
                  <a:solidFill>
                    <a:schemeClr val="accent1"/>
                  </a:solidFill>
                </a:ln>
                <a:effectLst/>
              </c:spPr>
            </c:marker>
            <c:bubble3D val="0"/>
            <c:extLst>
              <c:ext xmlns:c16="http://schemas.microsoft.com/office/drawing/2014/chart" uri="{C3380CC4-5D6E-409C-BE32-E72D297353CC}">
                <c16:uniqueId val="{0000002C-7914-4E93-8970-84F3611058F6}"/>
              </c:ext>
            </c:extLst>
          </c:dPt>
          <c:dPt>
            <c:idx val="45"/>
            <c:marker>
              <c:symbol val="circle"/>
              <c:size val="10"/>
              <c:spPr>
                <a:solidFill>
                  <a:srgbClr val="01FFA2"/>
                </a:solidFill>
                <a:ln w="9525">
                  <a:solidFill>
                    <a:schemeClr val="accent1"/>
                  </a:solidFill>
                </a:ln>
                <a:effectLst/>
              </c:spPr>
            </c:marker>
            <c:bubble3D val="0"/>
            <c:extLst>
              <c:ext xmlns:c16="http://schemas.microsoft.com/office/drawing/2014/chart" uri="{C3380CC4-5D6E-409C-BE32-E72D297353CC}">
                <c16:uniqueId val="{0000002D-7914-4E93-8970-84F3611058F6}"/>
              </c:ext>
            </c:extLst>
          </c:dPt>
          <c:dPt>
            <c:idx val="46"/>
            <c:marker>
              <c:symbol val="circle"/>
              <c:size val="10"/>
              <c:spPr>
                <a:solidFill>
                  <a:srgbClr val="01FFB4"/>
                </a:solidFill>
                <a:ln w="9525">
                  <a:solidFill>
                    <a:schemeClr val="accent1"/>
                  </a:solidFill>
                </a:ln>
                <a:effectLst/>
              </c:spPr>
            </c:marker>
            <c:bubble3D val="0"/>
            <c:extLst>
              <c:ext xmlns:c16="http://schemas.microsoft.com/office/drawing/2014/chart" uri="{C3380CC4-5D6E-409C-BE32-E72D297353CC}">
                <c16:uniqueId val="{0000002E-7914-4E93-8970-84F3611058F6}"/>
              </c:ext>
            </c:extLst>
          </c:dPt>
          <c:dPt>
            <c:idx val="47"/>
            <c:marker>
              <c:symbol val="circle"/>
              <c:size val="10"/>
              <c:spPr>
                <a:solidFill>
                  <a:srgbClr val="01FFC0"/>
                </a:solidFill>
                <a:ln w="9525">
                  <a:solidFill>
                    <a:schemeClr val="accent1"/>
                  </a:solidFill>
                </a:ln>
                <a:effectLst/>
              </c:spPr>
            </c:marker>
            <c:bubble3D val="0"/>
            <c:extLst>
              <c:ext xmlns:c16="http://schemas.microsoft.com/office/drawing/2014/chart" uri="{C3380CC4-5D6E-409C-BE32-E72D297353CC}">
                <c16:uniqueId val="{0000002F-7914-4E93-8970-84F3611058F6}"/>
              </c:ext>
            </c:extLst>
          </c:dPt>
          <c:dPt>
            <c:idx val="48"/>
            <c:marker>
              <c:symbol val="circle"/>
              <c:size val="10"/>
              <c:spPr>
                <a:solidFill>
                  <a:srgbClr val="01FFD2"/>
                </a:solidFill>
                <a:ln w="9525">
                  <a:solidFill>
                    <a:schemeClr val="accent1"/>
                  </a:solidFill>
                </a:ln>
                <a:effectLst/>
              </c:spPr>
            </c:marker>
            <c:bubble3D val="0"/>
            <c:extLst>
              <c:ext xmlns:c16="http://schemas.microsoft.com/office/drawing/2014/chart" uri="{C3380CC4-5D6E-409C-BE32-E72D297353CC}">
                <c16:uniqueId val="{00000030-7914-4E93-8970-84F3611058F6}"/>
              </c:ext>
            </c:extLst>
          </c:dPt>
          <c:dPt>
            <c:idx val="49"/>
            <c:marker>
              <c:symbol val="circle"/>
              <c:size val="10"/>
              <c:spPr>
                <a:solidFill>
                  <a:srgbClr val="01FFDE"/>
                </a:solidFill>
                <a:ln w="9525">
                  <a:solidFill>
                    <a:schemeClr val="accent1"/>
                  </a:solidFill>
                </a:ln>
                <a:effectLst/>
              </c:spPr>
            </c:marker>
            <c:bubble3D val="0"/>
            <c:extLst>
              <c:ext xmlns:c16="http://schemas.microsoft.com/office/drawing/2014/chart" uri="{C3380CC4-5D6E-409C-BE32-E72D297353CC}">
                <c16:uniqueId val="{00000031-7914-4E93-8970-84F3611058F6}"/>
              </c:ext>
            </c:extLst>
          </c:dPt>
          <c:dPt>
            <c:idx val="50"/>
            <c:marker>
              <c:symbol val="circle"/>
              <c:size val="10"/>
              <c:spPr>
                <a:solidFill>
                  <a:srgbClr val="01FFF0"/>
                </a:solidFill>
                <a:ln w="9525">
                  <a:solidFill>
                    <a:schemeClr val="accent1"/>
                  </a:solidFill>
                </a:ln>
                <a:effectLst/>
              </c:spPr>
            </c:marker>
            <c:bubble3D val="0"/>
            <c:extLst>
              <c:ext xmlns:c16="http://schemas.microsoft.com/office/drawing/2014/chart" uri="{C3380CC4-5D6E-409C-BE32-E72D297353CC}">
                <c16:uniqueId val="{00000032-7914-4E93-8970-84F3611058F6}"/>
              </c:ext>
            </c:extLst>
          </c:dPt>
          <c:dPt>
            <c:idx val="51"/>
            <c:marker>
              <c:symbol val="circle"/>
              <c:size val="10"/>
              <c:spPr>
                <a:solidFill>
                  <a:srgbClr val="01FFFC"/>
                </a:solidFill>
                <a:ln w="9525">
                  <a:solidFill>
                    <a:schemeClr val="accent1"/>
                  </a:solidFill>
                </a:ln>
                <a:effectLst/>
              </c:spPr>
            </c:marker>
            <c:bubble3D val="0"/>
            <c:extLst>
              <c:ext xmlns:c16="http://schemas.microsoft.com/office/drawing/2014/chart" uri="{C3380CC4-5D6E-409C-BE32-E72D297353CC}">
                <c16:uniqueId val="{00000033-7914-4E93-8970-84F3611058F6}"/>
              </c:ext>
            </c:extLst>
          </c:dPt>
          <c:dPt>
            <c:idx val="52"/>
            <c:marker>
              <c:symbol val="circle"/>
              <c:size val="10"/>
              <c:spPr>
                <a:solidFill>
                  <a:srgbClr val="01F0FF"/>
                </a:solidFill>
                <a:ln w="9525">
                  <a:solidFill>
                    <a:schemeClr val="accent1"/>
                  </a:solidFill>
                </a:ln>
                <a:effectLst/>
              </c:spPr>
            </c:marker>
            <c:bubble3D val="0"/>
            <c:extLst>
              <c:ext xmlns:c16="http://schemas.microsoft.com/office/drawing/2014/chart" uri="{C3380CC4-5D6E-409C-BE32-E72D297353CC}">
                <c16:uniqueId val="{00000034-7914-4E93-8970-84F3611058F6}"/>
              </c:ext>
            </c:extLst>
          </c:dPt>
          <c:dPt>
            <c:idx val="53"/>
            <c:marker>
              <c:symbol val="circle"/>
              <c:size val="10"/>
              <c:spPr>
                <a:solidFill>
                  <a:srgbClr val="01E4FF"/>
                </a:solidFill>
                <a:ln w="9525">
                  <a:solidFill>
                    <a:schemeClr val="accent1"/>
                  </a:solidFill>
                </a:ln>
                <a:effectLst/>
              </c:spPr>
            </c:marker>
            <c:bubble3D val="0"/>
            <c:extLst>
              <c:ext xmlns:c16="http://schemas.microsoft.com/office/drawing/2014/chart" uri="{C3380CC4-5D6E-409C-BE32-E72D297353CC}">
                <c16:uniqueId val="{00000035-7914-4E93-8970-84F3611058F6}"/>
              </c:ext>
            </c:extLst>
          </c:dPt>
          <c:dPt>
            <c:idx val="54"/>
            <c:marker>
              <c:symbol val="circle"/>
              <c:size val="10"/>
              <c:spPr>
                <a:solidFill>
                  <a:srgbClr val="01D2FF"/>
                </a:solidFill>
                <a:ln w="9525">
                  <a:solidFill>
                    <a:schemeClr val="accent1"/>
                  </a:solidFill>
                </a:ln>
                <a:effectLst/>
              </c:spPr>
            </c:marker>
            <c:bubble3D val="0"/>
            <c:extLst>
              <c:ext xmlns:c16="http://schemas.microsoft.com/office/drawing/2014/chart" uri="{C3380CC4-5D6E-409C-BE32-E72D297353CC}">
                <c16:uniqueId val="{00000036-7914-4E93-8970-84F3611058F6}"/>
              </c:ext>
            </c:extLst>
          </c:dPt>
          <c:dPt>
            <c:idx val="55"/>
            <c:marker>
              <c:symbol val="circle"/>
              <c:size val="10"/>
              <c:spPr>
                <a:solidFill>
                  <a:srgbClr val="01C6FF"/>
                </a:solidFill>
                <a:ln w="9525">
                  <a:solidFill>
                    <a:schemeClr val="accent1"/>
                  </a:solidFill>
                </a:ln>
                <a:effectLst/>
              </c:spPr>
            </c:marker>
            <c:bubble3D val="0"/>
            <c:extLst>
              <c:ext xmlns:c16="http://schemas.microsoft.com/office/drawing/2014/chart" uri="{C3380CC4-5D6E-409C-BE32-E72D297353CC}">
                <c16:uniqueId val="{00000037-7914-4E93-8970-84F3611058F6}"/>
              </c:ext>
            </c:extLst>
          </c:dPt>
          <c:dPt>
            <c:idx val="56"/>
            <c:marker>
              <c:symbol val="circle"/>
              <c:size val="10"/>
              <c:spPr>
                <a:solidFill>
                  <a:srgbClr val="01B4FF"/>
                </a:solidFill>
                <a:ln w="9525">
                  <a:solidFill>
                    <a:schemeClr val="accent1"/>
                  </a:solidFill>
                </a:ln>
                <a:effectLst/>
              </c:spPr>
            </c:marker>
            <c:bubble3D val="0"/>
            <c:extLst>
              <c:ext xmlns:c16="http://schemas.microsoft.com/office/drawing/2014/chart" uri="{C3380CC4-5D6E-409C-BE32-E72D297353CC}">
                <c16:uniqueId val="{00000038-7914-4E93-8970-84F3611058F6}"/>
              </c:ext>
            </c:extLst>
          </c:dPt>
          <c:dPt>
            <c:idx val="57"/>
            <c:marker>
              <c:symbol val="circle"/>
              <c:size val="10"/>
              <c:spPr>
                <a:solidFill>
                  <a:srgbClr val="01A8FF"/>
                </a:solidFill>
                <a:ln w="9525">
                  <a:solidFill>
                    <a:schemeClr val="accent1"/>
                  </a:solidFill>
                </a:ln>
                <a:effectLst/>
              </c:spPr>
            </c:marker>
            <c:bubble3D val="0"/>
            <c:extLst>
              <c:ext xmlns:c16="http://schemas.microsoft.com/office/drawing/2014/chart" uri="{C3380CC4-5D6E-409C-BE32-E72D297353CC}">
                <c16:uniqueId val="{00000039-7914-4E93-8970-84F3611058F6}"/>
              </c:ext>
            </c:extLst>
          </c:dPt>
          <c:dPt>
            <c:idx val="58"/>
            <c:marker>
              <c:symbol val="circle"/>
              <c:size val="10"/>
              <c:spPr>
                <a:solidFill>
                  <a:srgbClr val="0196FF"/>
                </a:solidFill>
                <a:ln w="9525">
                  <a:solidFill>
                    <a:schemeClr val="accent1"/>
                  </a:solidFill>
                </a:ln>
                <a:effectLst/>
              </c:spPr>
            </c:marker>
            <c:bubble3D val="0"/>
            <c:extLst>
              <c:ext xmlns:c16="http://schemas.microsoft.com/office/drawing/2014/chart" uri="{C3380CC4-5D6E-409C-BE32-E72D297353CC}">
                <c16:uniqueId val="{0000003A-7914-4E93-8970-84F3611058F6}"/>
              </c:ext>
            </c:extLst>
          </c:dPt>
          <c:dPt>
            <c:idx val="59"/>
            <c:marker>
              <c:symbol val="circle"/>
              <c:size val="10"/>
              <c:spPr>
                <a:solidFill>
                  <a:srgbClr val="018AFF"/>
                </a:solidFill>
                <a:ln w="9525">
                  <a:solidFill>
                    <a:schemeClr val="accent1"/>
                  </a:solidFill>
                </a:ln>
                <a:effectLst/>
              </c:spPr>
            </c:marker>
            <c:bubble3D val="0"/>
            <c:extLst>
              <c:ext xmlns:c16="http://schemas.microsoft.com/office/drawing/2014/chart" uri="{C3380CC4-5D6E-409C-BE32-E72D297353CC}">
                <c16:uniqueId val="{0000003B-7914-4E93-8970-84F3611058F6}"/>
              </c:ext>
            </c:extLst>
          </c:dPt>
          <c:dPt>
            <c:idx val="60"/>
            <c:marker>
              <c:symbol val="circle"/>
              <c:size val="10"/>
              <c:spPr>
                <a:solidFill>
                  <a:srgbClr val="0179FF"/>
                </a:solidFill>
                <a:ln w="9525">
                  <a:solidFill>
                    <a:schemeClr val="accent1"/>
                  </a:solidFill>
                </a:ln>
                <a:effectLst/>
              </c:spPr>
            </c:marker>
            <c:bubble3D val="0"/>
            <c:extLst>
              <c:ext xmlns:c16="http://schemas.microsoft.com/office/drawing/2014/chart" uri="{C3380CC4-5D6E-409C-BE32-E72D297353CC}">
                <c16:uniqueId val="{0000003C-7914-4E93-8970-84F3611058F6}"/>
              </c:ext>
            </c:extLst>
          </c:dPt>
          <c:dPt>
            <c:idx val="61"/>
            <c:marker>
              <c:symbol val="circle"/>
              <c:size val="10"/>
              <c:spPr>
                <a:solidFill>
                  <a:srgbClr val="016DFF"/>
                </a:solidFill>
                <a:ln w="9525">
                  <a:solidFill>
                    <a:schemeClr val="accent1"/>
                  </a:solidFill>
                </a:ln>
                <a:effectLst/>
              </c:spPr>
            </c:marker>
            <c:bubble3D val="0"/>
            <c:extLst>
              <c:ext xmlns:c16="http://schemas.microsoft.com/office/drawing/2014/chart" uri="{C3380CC4-5D6E-409C-BE32-E72D297353CC}">
                <c16:uniqueId val="{0000003D-7914-4E93-8970-84F3611058F6}"/>
              </c:ext>
            </c:extLst>
          </c:dPt>
          <c:dPt>
            <c:idx val="62"/>
            <c:marker>
              <c:symbol val="circle"/>
              <c:size val="10"/>
              <c:spPr>
                <a:solidFill>
                  <a:srgbClr val="015BFF"/>
                </a:solidFill>
                <a:ln w="9525">
                  <a:solidFill>
                    <a:schemeClr val="accent1"/>
                  </a:solidFill>
                </a:ln>
                <a:effectLst/>
              </c:spPr>
            </c:marker>
            <c:bubble3D val="0"/>
            <c:extLst>
              <c:ext xmlns:c16="http://schemas.microsoft.com/office/drawing/2014/chart" uri="{C3380CC4-5D6E-409C-BE32-E72D297353CC}">
                <c16:uniqueId val="{0000003E-7914-4E93-8970-84F3611058F6}"/>
              </c:ext>
            </c:extLst>
          </c:dPt>
          <c:dPt>
            <c:idx val="63"/>
            <c:marker>
              <c:symbol val="circle"/>
              <c:size val="10"/>
              <c:spPr>
                <a:solidFill>
                  <a:srgbClr val="014FFF"/>
                </a:solidFill>
                <a:ln w="9525">
                  <a:solidFill>
                    <a:schemeClr val="accent1"/>
                  </a:solidFill>
                </a:ln>
                <a:effectLst/>
              </c:spPr>
            </c:marker>
            <c:bubble3D val="0"/>
            <c:extLst>
              <c:ext xmlns:c16="http://schemas.microsoft.com/office/drawing/2014/chart" uri="{C3380CC4-5D6E-409C-BE32-E72D297353CC}">
                <c16:uniqueId val="{0000003F-7914-4E93-8970-84F3611058F6}"/>
              </c:ext>
            </c:extLst>
          </c:dPt>
          <c:dPt>
            <c:idx val="64"/>
            <c:marker>
              <c:symbol val="circle"/>
              <c:size val="10"/>
              <c:spPr>
                <a:solidFill>
                  <a:srgbClr val="013DFF"/>
                </a:solidFill>
                <a:ln w="9525">
                  <a:solidFill>
                    <a:schemeClr val="accent1"/>
                  </a:solidFill>
                </a:ln>
                <a:effectLst/>
              </c:spPr>
            </c:marker>
            <c:bubble3D val="0"/>
            <c:extLst>
              <c:ext xmlns:c16="http://schemas.microsoft.com/office/drawing/2014/chart" uri="{C3380CC4-5D6E-409C-BE32-E72D297353CC}">
                <c16:uniqueId val="{00000040-7914-4E93-8970-84F3611058F6}"/>
              </c:ext>
            </c:extLst>
          </c:dPt>
          <c:dPt>
            <c:idx val="65"/>
            <c:marker>
              <c:symbol val="circle"/>
              <c:size val="10"/>
              <c:spPr>
                <a:solidFill>
                  <a:srgbClr val="0131FF"/>
                </a:solidFill>
                <a:ln w="9525">
                  <a:solidFill>
                    <a:schemeClr val="accent1"/>
                  </a:solidFill>
                </a:ln>
                <a:effectLst/>
              </c:spPr>
            </c:marker>
            <c:bubble3D val="0"/>
            <c:extLst>
              <c:ext xmlns:c16="http://schemas.microsoft.com/office/drawing/2014/chart" uri="{C3380CC4-5D6E-409C-BE32-E72D297353CC}">
                <c16:uniqueId val="{00000041-7914-4E93-8970-84F3611058F6}"/>
              </c:ext>
            </c:extLst>
          </c:dPt>
          <c:dPt>
            <c:idx val="66"/>
            <c:marker>
              <c:symbol val="circle"/>
              <c:size val="10"/>
              <c:spPr>
                <a:solidFill>
                  <a:srgbClr val="011FFF"/>
                </a:solidFill>
                <a:ln w="9525">
                  <a:solidFill>
                    <a:schemeClr val="accent1"/>
                  </a:solidFill>
                </a:ln>
                <a:effectLst/>
              </c:spPr>
            </c:marker>
            <c:bubble3D val="0"/>
            <c:extLst>
              <c:ext xmlns:c16="http://schemas.microsoft.com/office/drawing/2014/chart" uri="{C3380CC4-5D6E-409C-BE32-E72D297353CC}">
                <c16:uniqueId val="{00000042-7914-4E93-8970-84F3611058F6}"/>
              </c:ext>
            </c:extLst>
          </c:dPt>
          <c:dPt>
            <c:idx val="67"/>
            <c:marker>
              <c:symbol val="circle"/>
              <c:size val="10"/>
              <c:spPr>
                <a:solidFill>
                  <a:srgbClr val="0113FF"/>
                </a:solidFill>
                <a:ln w="9525">
                  <a:solidFill>
                    <a:schemeClr val="accent1"/>
                  </a:solidFill>
                </a:ln>
                <a:effectLst/>
              </c:spPr>
            </c:marker>
            <c:bubble3D val="0"/>
            <c:extLst>
              <c:ext xmlns:c16="http://schemas.microsoft.com/office/drawing/2014/chart" uri="{C3380CC4-5D6E-409C-BE32-E72D297353CC}">
                <c16:uniqueId val="{00000043-7914-4E93-8970-84F3611058F6}"/>
              </c:ext>
            </c:extLst>
          </c:dPt>
          <c:dPt>
            <c:idx val="68"/>
            <c:marker>
              <c:symbol val="circle"/>
              <c:size val="10"/>
              <c:spPr>
                <a:solidFill>
                  <a:srgbClr val="0101FF"/>
                </a:solidFill>
                <a:ln w="9525">
                  <a:solidFill>
                    <a:schemeClr val="accent1"/>
                  </a:solidFill>
                </a:ln>
                <a:effectLst/>
              </c:spPr>
            </c:marker>
            <c:bubble3D val="0"/>
            <c:extLst>
              <c:ext xmlns:c16="http://schemas.microsoft.com/office/drawing/2014/chart" uri="{C3380CC4-5D6E-409C-BE32-E72D297353CC}">
                <c16:uniqueId val="{00000044-7914-4E93-8970-84F3611058F6}"/>
              </c:ext>
            </c:extLst>
          </c:dPt>
          <c:dPt>
            <c:idx val="69"/>
            <c:marker>
              <c:symbol val="circle"/>
              <c:size val="10"/>
              <c:spPr>
                <a:solidFill>
                  <a:srgbClr val="0D01FF"/>
                </a:solidFill>
                <a:ln w="9525">
                  <a:solidFill>
                    <a:schemeClr val="accent1"/>
                  </a:solidFill>
                </a:ln>
                <a:effectLst/>
              </c:spPr>
            </c:marker>
            <c:bubble3D val="0"/>
            <c:extLst>
              <c:ext xmlns:c16="http://schemas.microsoft.com/office/drawing/2014/chart" uri="{C3380CC4-5D6E-409C-BE32-E72D297353CC}">
                <c16:uniqueId val="{00000045-7914-4E93-8970-84F3611058F6}"/>
              </c:ext>
            </c:extLst>
          </c:dPt>
          <c:dPt>
            <c:idx val="70"/>
            <c:marker>
              <c:symbol val="circle"/>
              <c:size val="10"/>
              <c:spPr>
                <a:solidFill>
                  <a:srgbClr val="1F01FF"/>
                </a:solidFill>
                <a:ln w="9525">
                  <a:solidFill>
                    <a:schemeClr val="accent1"/>
                  </a:solidFill>
                </a:ln>
                <a:effectLst/>
              </c:spPr>
            </c:marker>
            <c:bubble3D val="0"/>
            <c:extLst>
              <c:ext xmlns:c16="http://schemas.microsoft.com/office/drawing/2014/chart" uri="{C3380CC4-5D6E-409C-BE32-E72D297353CC}">
                <c16:uniqueId val="{00000046-7914-4E93-8970-84F3611058F6}"/>
              </c:ext>
            </c:extLst>
          </c:dPt>
          <c:dPt>
            <c:idx val="71"/>
            <c:marker>
              <c:symbol val="circle"/>
              <c:size val="10"/>
              <c:spPr>
                <a:solidFill>
                  <a:srgbClr val="2B01FF"/>
                </a:solidFill>
                <a:ln w="9525">
                  <a:solidFill>
                    <a:schemeClr val="accent1"/>
                  </a:solidFill>
                </a:ln>
                <a:effectLst/>
              </c:spPr>
            </c:marker>
            <c:bubble3D val="0"/>
            <c:extLst>
              <c:ext xmlns:c16="http://schemas.microsoft.com/office/drawing/2014/chart" uri="{C3380CC4-5D6E-409C-BE32-E72D297353CC}">
                <c16:uniqueId val="{00000047-7914-4E93-8970-84F3611058F6}"/>
              </c:ext>
            </c:extLst>
          </c:dPt>
          <c:dPt>
            <c:idx val="72"/>
            <c:marker>
              <c:symbol val="circle"/>
              <c:size val="10"/>
              <c:spPr>
                <a:solidFill>
                  <a:srgbClr val="3D01FF"/>
                </a:solidFill>
                <a:ln w="9525">
                  <a:solidFill>
                    <a:schemeClr val="accent1"/>
                  </a:solidFill>
                </a:ln>
                <a:effectLst/>
              </c:spPr>
            </c:marker>
            <c:bubble3D val="0"/>
            <c:extLst>
              <c:ext xmlns:c16="http://schemas.microsoft.com/office/drawing/2014/chart" uri="{C3380CC4-5D6E-409C-BE32-E72D297353CC}">
                <c16:uniqueId val="{00000048-7914-4E93-8970-84F3611058F6}"/>
              </c:ext>
            </c:extLst>
          </c:dPt>
          <c:dPt>
            <c:idx val="73"/>
            <c:marker>
              <c:symbol val="circle"/>
              <c:size val="10"/>
              <c:spPr>
                <a:solidFill>
                  <a:srgbClr val="4901FF"/>
                </a:solidFill>
                <a:ln w="9525">
                  <a:solidFill>
                    <a:schemeClr val="accent1"/>
                  </a:solidFill>
                </a:ln>
                <a:effectLst/>
              </c:spPr>
            </c:marker>
            <c:bubble3D val="0"/>
            <c:extLst>
              <c:ext xmlns:c16="http://schemas.microsoft.com/office/drawing/2014/chart" uri="{C3380CC4-5D6E-409C-BE32-E72D297353CC}">
                <c16:uniqueId val="{00000049-7914-4E93-8970-84F3611058F6}"/>
              </c:ext>
            </c:extLst>
          </c:dPt>
          <c:dPt>
            <c:idx val="74"/>
            <c:marker>
              <c:symbol val="circle"/>
              <c:size val="10"/>
              <c:spPr>
                <a:solidFill>
                  <a:srgbClr val="5B01FF"/>
                </a:solidFill>
                <a:ln w="9525">
                  <a:solidFill>
                    <a:schemeClr val="accent1"/>
                  </a:solidFill>
                </a:ln>
                <a:effectLst/>
              </c:spPr>
            </c:marker>
            <c:bubble3D val="0"/>
            <c:extLst>
              <c:ext xmlns:c16="http://schemas.microsoft.com/office/drawing/2014/chart" uri="{C3380CC4-5D6E-409C-BE32-E72D297353CC}">
                <c16:uniqueId val="{0000004A-7914-4E93-8970-84F3611058F6}"/>
              </c:ext>
            </c:extLst>
          </c:dPt>
          <c:dPt>
            <c:idx val="75"/>
            <c:marker>
              <c:symbol val="circle"/>
              <c:size val="10"/>
              <c:spPr>
                <a:solidFill>
                  <a:srgbClr val="6701FF"/>
                </a:solidFill>
                <a:ln w="9525">
                  <a:solidFill>
                    <a:schemeClr val="accent1"/>
                  </a:solidFill>
                </a:ln>
                <a:effectLst/>
              </c:spPr>
            </c:marker>
            <c:bubble3D val="0"/>
            <c:extLst>
              <c:ext xmlns:c16="http://schemas.microsoft.com/office/drawing/2014/chart" uri="{C3380CC4-5D6E-409C-BE32-E72D297353CC}">
                <c16:uniqueId val="{0000004B-7914-4E93-8970-84F3611058F6}"/>
              </c:ext>
            </c:extLst>
          </c:dPt>
          <c:dPt>
            <c:idx val="76"/>
            <c:marker>
              <c:symbol val="circle"/>
              <c:size val="10"/>
              <c:spPr>
                <a:solidFill>
                  <a:srgbClr val="7901FF"/>
                </a:solidFill>
                <a:ln w="9525">
                  <a:solidFill>
                    <a:schemeClr val="accent1"/>
                  </a:solidFill>
                </a:ln>
                <a:effectLst/>
              </c:spPr>
            </c:marker>
            <c:bubble3D val="0"/>
            <c:extLst>
              <c:ext xmlns:c16="http://schemas.microsoft.com/office/drawing/2014/chart" uri="{C3380CC4-5D6E-409C-BE32-E72D297353CC}">
                <c16:uniqueId val="{0000004C-7914-4E93-8970-84F3611058F6}"/>
              </c:ext>
            </c:extLst>
          </c:dPt>
          <c:dPt>
            <c:idx val="77"/>
            <c:marker>
              <c:symbol val="circle"/>
              <c:size val="10"/>
              <c:spPr>
                <a:solidFill>
                  <a:srgbClr val="8401FF"/>
                </a:solidFill>
                <a:ln w="9525">
                  <a:solidFill>
                    <a:schemeClr val="accent1"/>
                  </a:solidFill>
                </a:ln>
                <a:effectLst/>
              </c:spPr>
            </c:marker>
            <c:bubble3D val="0"/>
            <c:extLst>
              <c:ext xmlns:c16="http://schemas.microsoft.com/office/drawing/2014/chart" uri="{C3380CC4-5D6E-409C-BE32-E72D297353CC}">
                <c16:uniqueId val="{0000004D-7914-4E93-8970-84F3611058F6}"/>
              </c:ext>
            </c:extLst>
          </c:dPt>
          <c:dPt>
            <c:idx val="78"/>
            <c:marker>
              <c:symbol val="circle"/>
              <c:size val="10"/>
              <c:spPr>
                <a:solidFill>
                  <a:srgbClr val="9601FF"/>
                </a:solidFill>
                <a:ln w="9525">
                  <a:solidFill>
                    <a:schemeClr val="accent1"/>
                  </a:solidFill>
                </a:ln>
                <a:effectLst/>
              </c:spPr>
            </c:marker>
            <c:bubble3D val="0"/>
            <c:extLst>
              <c:ext xmlns:c16="http://schemas.microsoft.com/office/drawing/2014/chart" uri="{C3380CC4-5D6E-409C-BE32-E72D297353CC}">
                <c16:uniqueId val="{0000004E-7914-4E93-8970-84F3611058F6}"/>
              </c:ext>
            </c:extLst>
          </c:dPt>
          <c:xVal>
            <c:numRef>
              <c:f>Combined!$A$2:$A$80</c:f>
              <c:numCache>
                <c:formatCode>General</c:formatCode>
                <c:ptCount val="79"/>
                <c:pt idx="0">
                  <c:v>19.988536834716797</c:v>
                </c:pt>
                <c:pt idx="1">
                  <c:v>17.447378798191611</c:v>
                </c:pt>
                <c:pt idx="2">
                  <c:v>15.620215698107327</c:v>
                </c:pt>
                <c:pt idx="3">
                  <c:v>14.785112240309878</c:v>
                </c:pt>
                <c:pt idx="4">
                  <c:v>15.389990992717337</c:v>
                </c:pt>
                <c:pt idx="5">
                  <c:v>15.226098545388934</c:v>
                </c:pt>
                <c:pt idx="6">
                  <c:v>14.589895416464751</c:v>
                </c:pt>
                <c:pt idx="7">
                  <c:v>14.74495500503205</c:v>
                </c:pt>
                <c:pt idx="8">
                  <c:v>15.954898710465152</c:v>
                </c:pt>
                <c:pt idx="9">
                  <c:v>17.990780575023816</c:v>
                </c:pt>
                <c:pt idx="10">
                  <c:v>21.409704208374023</c:v>
                </c:pt>
                <c:pt idx="11">
                  <c:v>26.960432848167457</c:v>
                </c:pt>
                <c:pt idx="12">
                  <c:v>31.575491836744039</c:v>
                </c:pt>
                <c:pt idx="13">
                  <c:v>34.148806594067821</c:v>
                </c:pt>
                <c:pt idx="14">
                  <c:v>34.300026529564398</c:v>
                </c:pt>
                <c:pt idx="15">
                  <c:v>35.175398321336885</c:v>
                </c:pt>
                <c:pt idx="16">
                  <c:v>34.046503478516627</c:v>
                </c:pt>
                <c:pt idx="17">
                  <c:v>32.856148584398156</c:v>
                </c:pt>
                <c:pt idx="18">
                  <c:v>28.973149472029213</c:v>
                </c:pt>
                <c:pt idx="19">
                  <c:v>24.542546792087542</c:v>
                </c:pt>
                <c:pt idx="20">
                  <c:v>24.622679963595701</c:v>
                </c:pt>
                <c:pt idx="21">
                  <c:v>24.520280818927532</c:v>
                </c:pt>
                <c:pt idx="22">
                  <c:v>24.755659040425844</c:v>
                </c:pt>
                <c:pt idx="23">
                  <c:v>24.115061543554543</c:v>
                </c:pt>
                <c:pt idx="24">
                  <c:v>23.338956005922093</c:v>
                </c:pt>
                <c:pt idx="25">
                  <c:v>22.292674648434559</c:v>
                </c:pt>
                <c:pt idx="26">
                  <c:v>22.169197546790961</c:v>
                </c:pt>
                <c:pt idx="27">
                  <c:v>22.104014582358687</c:v>
                </c:pt>
                <c:pt idx="28">
                  <c:v>21.632988764152898</c:v>
                </c:pt>
                <c:pt idx="29">
                  <c:v>21.43700293748104</c:v>
                </c:pt>
                <c:pt idx="30">
                  <c:v>21.221893044479934</c:v>
                </c:pt>
                <c:pt idx="31">
                  <c:v>20.83054981877909</c:v>
                </c:pt>
                <c:pt idx="32">
                  <c:v>20.689520855524147</c:v>
                </c:pt>
                <c:pt idx="33">
                  <c:v>21.132386503529549</c:v>
                </c:pt>
                <c:pt idx="34">
                  <c:v>21.308851743899311</c:v>
                </c:pt>
                <c:pt idx="35">
                  <c:v>21.508299024556045</c:v>
                </c:pt>
                <c:pt idx="36">
                  <c:v>21.426874066466205</c:v>
                </c:pt>
                <c:pt idx="37">
                  <c:v>21.366639952184471</c:v>
                </c:pt>
                <c:pt idx="38">
                  <c:v>21.707423228288707</c:v>
                </c:pt>
                <c:pt idx="39">
                  <c:v>22.261109588114827</c:v>
                </c:pt>
                <c:pt idx="40">
                  <c:v>22.260416245328017</c:v>
                </c:pt>
                <c:pt idx="41">
                  <c:v>22.338233746134485</c:v>
                </c:pt>
                <c:pt idx="42">
                  <c:v>22.560068464047028</c:v>
                </c:pt>
                <c:pt idx="43">
                  <c:v>22.877085546911371</c:v>
                </c:pt>
                <c:pt idx="44">
                  <c:v>23.234343879444893</c:v>
                </c:pt>
                <c:pt idx="45">
                  <c:v>23.770561698596829</c:v>
                </c:pt>
                <c:pt idx="46">
                  <c:v>23.827803757812049</c:v>
                </c:pt>
                <c:pt idx="47">
                  <c:v>23.586723306680597</c:v>
                </c:pt>
                <c:pt idx="48">
                  <c:v>23.733148483215786</c:v>
                </c:pt>
                <c:pt idx="49">
                  <c:v>23.979730086782489</c:v>
                </c:pt>
                <c:pt idx="50">
                  <c:v>24.324438684983111</c:v>
                </c:pt>
                <c:pt idx="51">
                  <c:v>24.485675123240469</c:v>
                </c:pt>
                <c:pt idx="52">
                  <c:v>24.470009363861553</c:v>
                </c:pt>
                <c:pt idx="53">
                  <c:v>24.459896726036284</c:v>
                </c:pt>
                <c:pt idx="54">
                  <c:v>24.455093359098058</c:v>
                </c:pt>
                <c:pt idx="55">
                  <c:v>24.431491683755802</c:v>
                </c:pt>
                <c:pt idx="56">
                  <c:v>24.527976327045906</c:v>
                </c:pt>
                <c:pt idx="57">
                  <c:v>24.537021062231823</c:v>
                </c:pt>
                <c:pt idx="58">
                  <c:v>24.137546054258323</c:v>
                </c:pt>
                <c:pt idx="59">
                  <c:v>23.7592091449776</c:v>
                </c:pt>
                <c:pt idx="60">
                  <c:v>23.330603877551383</c:v>
                </c:pt>
                <c:pt idx="61">
                  <c:v>22.88185309911043</c:v>
                </c:pt>
                <c:pt idx="62">
                  <c:v>22.513493207502627</c:v>
                </c:pt>
                <c:pt idx="63">
                  <c:v>22.156281667465542</c:v>
                </c:pt>
                <c:pt idx="64">
                  <c:v>21.9669995231333</c:v>
                </c:pt>
                <c:pt idx="65">
                  <c:v>22.012416112600445</c:v>
                </c:pt>
                <c:pt idx="66">
                  <c:v>21.443783146281937</c:v>
                </c:pt>
                <c:pt idx="67">
                  <c:v>21.032719461005691</c:v>
                </c:pt>
                <c:pt idx="68">
                  <c:v>20.953242519246814</c:v>
                </c:pt>
                <c:pt idx="69">
                  <c:v>20.87152035477866</c:v>
                </c:pt>
                <c:pt idx="70">
                  <c:v>20.717899333551085</c:v>
                </c:pt>
                <c:pt idx="71">
                  <c:v>21.247753409758843</c:v>
                </c:pt>
                <c:pt idx="72">
                  <c:v>21.227797044109252</c:v>
                </c:pt>
                <c:pt idx="73">
                  <c:v>21.306296675203484</c:v>
                </c:pt>
                <c:pt idx="74">
                  <c:v>21.365552349383794</c:v>
                </c:pt>
                <c:pt idx="75">
                  <c:v>21.489923790194066</c:v>
                </c:pt>
                <c:pt idx="76">
                  <c:v>21.365248985762349</c:v>
                </c:pt>
                <c:pt idx="77">
                  <c:v>21.371526454211839</c:v>
                </c:pt>
                <c:pt idx="78">
                  <c:v>21.353885388571918</c:v>
                </c:pt>
              </c:numCache>
            </c:numRef>
          </c:xVal>
          <c:yVal>
            <c:numRef>
              <c:f>Combined!$C$2:$C$80</c:f>
              <c:numCache>
                <c:formatCode>General</c:formatCode>
                <c:ptCount val="79"/>
                <c:pt idx="0">
                  <c:v>8.526209831237793</c:v>
                </c:pt>
                <c:pt idx="1">
                  <c:v>7.7378903974518671</c:v>
                </c:pt>
                <c:pt idx="2">
                  <c:v>8.6495438438248442</c:v>
                </c:pt>
                <c:pt idx="3">
                  <c:v>9.21030866933285</c:v>
                </c:pt>
                <c:pt idx="4">
                  <c:v>10.314599169737038</c:v>
                </c:pt>
                <c:pt idx="5">
                  <c:v>11.153500658026353</c:v>
                </c:pt>
                <c:pt idx="6">
                  <c:v>9.9378186291302875</c:v>
                </c:pt>
                <c:pt idx="7">
                  <c:v>9.1086367813538658</c:v>
                </c:pt>
                <c:pt idx="8">
                  <c:v>7.8809415270234533</c:v>
                </c:pt>
                <c:pt idx="9">
                  <c:v>7.2252750852123473</c:v>
                </c:pt>
                <c:pt idx="10">
                  <c:v>8.3503875732421875</c:v>
                </c:pt>
                <c:pt idx="11">
                  <c:v>9.2665027375444762</c:v>
                </c:pt>
                <c:pt idx="12">
                  <c:v>8.3223110361798014</c:v>
                </c:pt>
                <c:pt idx="13">
                  <c:v>5.6309749641018811</c:v>
                </c:pt>
                <c:pt idx="14">
                  <c:v>7.2146699669787111</c:v>
                </c:pt>
                <c:pt idx="15">
                  <c:v>8.7702641455289445</c:v>
                </c:pt>
                <c:pt idx="16">
                  <c:v>10.391627065539124</c:v>
                </c:pt>
                <c:pt idx="17">
                  <c:v>10.022898827638143</c:v>
                </c:pt>
                <c:pt idx="18">
                  <c:v>8.6846130035911049</c:v>
                </c:pt>
                <c:pt idx="19">
                  <c:v>8.3837897434089044</c:v>
                </c:pt>
                <c:pt idx="20">
                  <c:v>10.185391954155202</c:v>
                </c:pt>
                <c:pt idx="21">
                  <c:v>11.955278045502313</c:v>
                </c:pt>
                <c:pt idx="22">
                  <c:v>13.717102357227432</c:v>
                </c:pt>
                <c:pt idx="23">
                  <c:v>15.30656950633667</c:v>
                </c:pt>
                <c:pt idx="24">
                  <c:v>16.994504836384529</c:v>
                </c:pt>
                <c:pt idx="25">
                  <c:v>17.883265076945321</c:v>
                </c:pt>
                <c:pt idx="26">
                  <c:v>16.945582828708918</c:v>
                </c:pt>
                <c:pt idx="27">
                  <c:v>18.317267919750801</c:v>
                </c:pt>
                <c:pt idx="28">
                  <c:v>20.098898414394167</c:v>
                </c:pt>
                <c:pt idx="29">
                  <c:v>21.777309685461937</c:v>
                </c:pt>
                <c:pt idx="30">
                  <c:v>23.540770726735566</c:v>
                </c:pt>
                <c:pt idx="31">
                  <c:v>25.345658153082617</c:v>
                </c:pt>
                <c:pt idx="32">
                  <c:v>26.594542276977069</c:v>
                </c:pt>
                <c:pt idx="33">
                  <c:v>26.212947444118498</c:v>
                </c:pt>
                <c:pt idx="34">
                  <c:v>27.877469652013211</c:v>
                </c:pt>
                <c:pt idx="35">
                  <c:v>29.655414348039926</c:v>
                </c:pt>
                <c:pt idx="36">
                  <c:v>31.40691872498909</c:v>
                </c:pt>
                <c:pt idx="37">
                  <c:v>33.293133085104131</c:v>
                </c:pt>
                <c:pt idx="38">
                  <c:v>34.945149912500526</c:v>
                </c:pt>
                <c:pt idx="39">
                  <c:v>35.335891490944988</c:v>
                </c:pt>
                <c:pt idx="40">
                  <c:v>36.001521757842241</c:v>
                </c:pt>
                <c:pt idx="41">
                  <c:v>37.776249494987681</c:v>
                </c:pt>
                <c:pt idx="42">
                  <c:v>39.579742129083563</c:v>
                </c:pt>
                <c:pt idx="43">
                  <c:v>41.327305371845071</c:v>
                </c:pt>
                <c:pt idx="44">
                  <c:v>42.981453570212892</c:v>
                </c:pt>
                <c:pt idx="45">
                  <c:v>43.699378721613265</c:v>
                </c:pt>
                <c:pt idx="46">
                  <c:v>42.811678266629933</c:v>
                </c:pt>
                <c:pt idx="47">
                  <c:v>44.236887106445799</c:v>
                </c:pt>
                <c:pt idx="48">
                  <c:v>45.547207398197607</c:v>
                </c:pt>
                <c:pt idx="49">
                  <c:v>46.928739026425646</c:v>
                </c:pt>
                <c:pt idx="50">
                  <c:v>48.130390786315715</c:v>
                </c:pt>
                <c:pt idx="51">
                  <c:v>47.083244064237419</c:v>
                </c:pt>
                <c:pt idx="52">
                  <c:v>45.213474680230775</c:v>
                </c:pt>
                <c:pt idx="53">
                  <c:v>43.340179713714008</c:v>
                </c:pt>
                <c:pt idx="54">
                  <c:v>41.476584468022338</c:v>
                </c:pt>
                <c:pt idx="55">
                  <c:v>39.695144030400044</c:v>
                </c:pt>
                <c:pt idx="56">
                  <c:v>37.768536845591314</c:v>
                </c:pt>
                <c:pt idx="57">
                  <c:v>36.283406207681949</c:v>
                </c:pt>
                <c:pt idx="58">
                  <c:v>37.277187766067136</c:v>
                </c:pt>
                <c:pt idx="59">
                  <c:v>37.139965704588256</c:v>
                </c:pt>
                <c:pt idx="60">
                  <c:v>35.419653496717828</c:v>
                </c:pt>
                <c:pt idx="61">
                  <c:v>33.622500949684664</c:v>
                </c:pt>
                <c:pt idx="62">
                  <c:v>31.771663124631313</c:v>
                </c:pt>
                <c:pt idx="63">
                  <c:v>29.95220375241863</c:v>
                </c:pt>
                <c:pt idx="64">
                  <c:v>29.644404231620452</c:v>
                </c:pt>
                <c:pt idx="65">
                  <c:v>30.057880177283472</c:v>
                </c:pt>
                <c:pt idx="66">
                  <c:v>28.45216706116004</c:v>
                </c:pt>
                <c:pt idx="67">
                  <c:v>26.593877705343473</c:v>
                </c:pt>
                <c:pt idx="68">
                  <c:v>24.723566146858246</c:v>
                </c:pt>
                <c:pt idx="69">
                  <c:v>22.886746202060998</c:v>
                </c:pt>
                <c:pt idx="70">
                  <c:v>21.306353252629712</c:v>
                </c:pt>
                <c:pt idx="71">
                  <c:v>21.451299616530196</c:v>
                </c:pt>
                <c:pt idx="72">
                  <c:v>20.181016219553182</c:v>
                </c:pt>
                <c:pt idx="73">
                  <c:v>18.286664782775802</c:v>
                </c:pt>
                <c:pt idx="74">
                  <c:v>16.493219574680214</c:v>
                </c:pt>
                <c:pt idx="75">
                  <c:v>14.77949539709789</c:v>
                </c:pt>
                <c:pt idx="76">
                  <c:v>13.702808877601662</c:v>
                </c:pt>
                <c:pt idx="77">
                  <c:v>11.981317988965676</c:v>
                </c:pt>
                <c:pt idx="78">
                  <c:v>10.245592776874039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14-FC3A-430B-9463-E6DE35401103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392344304"/>
        <c:axId val="392341424"/>
      </c:scatterChart>
      <c:valAx>
        <c:axId val="392344304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392341424"/>
        <c:crosses val="autoZero"/>
        <c:crossBetween val="midCat"/>
      </c:valAx>
      <c:valAx>
        <c:axId val="39234142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392344304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olors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4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5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6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7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8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1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4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5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6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7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8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ctrlProps/ctrlProp3.xml><?xml version="1.0" encoding="utf-8"?>
<formControlPr xmlns="http://schemas.microsoft.com/office/spreadsheetml/2009/9/main" objectType="Button" lockText="1"/>
</file>

<file path=xl/drawings/_rels/drawing1.xml.rels><?xml version="1.0" encoding="UTF-8" standalone="yes"?>
<Relationships xmlns="http://schemas.openxmlformats.org/package/2006/relationships"><Relationship Id="rId3" Type="http://schemas.openxmlformats.org/officeDocument/2006/relationships/chart" Target="../charts/chart3.xml"/><Relationship Id="rId2" Type="http://schemas.openxmlformats.org/officeDocument/2006/relationships/chart" Target="../charts/chart2.xml"/><Relationship Id="rId1" Type="http://schemas.openxmlformats.org/officeDocument/2006/relationships/chart" Target="../charts/chart1.xml"/></Relationships>
</file>

<file path=xl/drawings/_rels/drawing2.xml.rels><?xml version="1.0" encoding="UTF-8" standalone="yes"?>
<Relationships xmlns="http://schemas.openxmlformats.org/package/2006/relationships"><Relationship Id="rId3" Type="http://schemas.openxmlformats.org/officeDocument/2006/relationships/chart" Target="../charts/chart6.xml"/><Relationship Id="rId2" Type="http://schemas.openxmlformats.org/officeDocument/2006/relationships/chart" Target="../charts/chart5.xml"/><Relationship Id="rId1" Type="http://schemas.openxmlformats.org/officeDocument/2006/relationships/chart" Target="../charts/chart4.xml"/></Relationships>
</file>

<file path=xl/drawings/_rels/drawing3.xml.rels><?xml version="1.0" encoding="UTF-8" standalone="yes"?>
<Relationships xmlns="http://schemas.openxmlformats.org/package/2006/relationships"><Relationship Id="rId3" Type="http://schemas.openxmlformats.org/officeDocument/2006/relationships/chart" Target="../charts/chart9.xml"/><Relationship Id="rId2" Type="http://schemas.openxmlformats.org/officeDocument/2006/relationships/chart" Target="../charts/chart8.xml"/><Relationship Id="rId1" Type="http://schemas.openxmlformats.org/officeDocument/2006/relationships/chart" Target="../charts/chart7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11</xdr:col>
      <xdr:colOff>0</xdr:colOff>
      <xdr:row>1</xdr:row>
      <xdr:rowOff>0</xdr:rowOff>
    </xdr:from>
    <xdr:to>
      <xdr:col>16</xdr:col>
      <xdr:colOff>0</xdr:colOff>
      <xdr:row>26</xdr:row>
      <xdr:rowOff>0</xdr:rowOff>
    </xdr:to>
    <xdr:graphicFrame macro="">
      <xdr:nvGraphicFramePr>
        <xdr:cNvPr id="3" name="cht_Top">
          <a:extLst>
            <a:ext uri="{FF2B5EF4-FFF2-40B4-BE49-F238E27FC236}">
              <a16:creationId xmlns:a16="http://schemas.microsoft.com/office/drawing/2014/main" id="{EC96C5C8-604A-E97D-2240-92AFFA16996C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17</xdr:col>
      <xdr:colOff>0</xdr:colOff>
      <xdr:row>1</xdr:row>
      <xdr:rowOff>0</xdr:rowOff>
    </xdr:from>
    <xdr:to>
      <xdr:col>22</xdr:col>
      <xdr:colOff>0</xdr:colOff>
      <xdr:row>26</xdr:row>
      <xdr:rowOff>0</xdr:rowOff>
    </xdr:to>
    <xdr:graphicFrame macro="">
      <xdr:nvGraphicFramePr>
        <xdr:cNvPr id="4" name="cht_side">
          <a:extLst>
            <a:ext uri="{FF2B5EF4-FFF2-40B4-BE49-F238E27FC236}">
              <a16:creationId xmlns:a16="http://schemas.microsoft.com/office/drawing/2014/main" id="{99821D00-467D-10CA-425B-333749174CF3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11</xdr:col>
      <xdr:colOff>0</xdr:colOff>
      <xdr:row>27</xdr:row>
      <xdr:rowOff>0</xdr:rowOff>
    </xdr:from>
    <xdr:to>
      <xdr:col>16</xdr:col>
      <xdr:colOff>0</xdr:colOff>
      <xdr:row>42</xdr:row>
      <xdr:rowOff>0</xdr:rowOff>
    </xdr:to>
    <xdr:graphicFrame macro="">
      <xdr:nvGraphicFramePr>
        <xdr:cNvPr id="5" name="cht_back">
          <a:extLst>
            <a:ext uri="{FF2B5EF4-FFF2-40B4-BE49-F238E27FC236}">
              <a16:creationId xmlns:a16="http://schemas.microsoft.com/office/drawing/2014/main" id="{36FB01EC-455E-72B0-19EC-565121033DF3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2</xdr:col>
          <xdr:colOff>600075</xdr:colOff>
          <xdr:row>0</xdr:row>
          <xdr:rowOff>19050</xdr:rowOff>
        </xdr:from>
        <xdr:to>
          <xdr:col>4</xdr:col>
          <xdr:colOff>0</xdr:colOff>
          <xdr:row>1</xdr:row>
          <xdr:rowOff>0</xdr:rowOff>
        </xdr:to>
        <xdr:sp macro="" textlink="">
          <xdr:nvSpPr>
            <xdr:cNvPr id="1025" name="Button 1" hidden="1">
              <a:extLst>
                <a:ext uri="{63B3BB69-23CF-44E3-9099-C40C66FF867C}">
                  <a14:compatExt spid="_x0000_s1025"/>
                </a:ext>
                <a:ext uri="{FF2B5EF4-FFF2-40B4-BE49-F238E27FC236}">
                  <a16:creationId xmlns:a16="http://schemas.microsoft.com/office/drawing/2014/main" id="{00000000-0008-0000-0000-000001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AU" sz="1100" b="1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Load</a:t>
              </a:r>
            </a:p>
          </xdr:txBody>
        </xdr:sp>
        <xdr:clientData fPrintsWithSheet="0"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11</xdr:col>
      <xdr:colOff>0</xdr:colOff>
      <xdr:row>1</xdr:row>
      <xdr:rowOff>0</xdr:rowOff>
    </xdr:from>
    <xdr:to>
      <xdr:col>16</xdr:col>
      <xdr:colOff>0</xdr:colOff>
      <xdr:row>26</xdr:row>
      <xdr:rowOff>0</xdr:rowOff>
    </xdr:to>
    <xdr:graphicFrame macro="">
      <xdr:nvGraphicFramePr>
        <xdr:cNvPr id="2" name="cht_top">
          <a:extLst>
            <a:ext uri="{FF2B5EF4-FFF2-40B4-BE49-F238E27FC236}">
              <a16:creationId xmlns:a16="http://schemas.microsoft.com/office/drawing/2014/main" id="{1D384ADA-7D0D-4283-9ACF-9902F67D528C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17</xdr:col>
      <xdr:colOff>0</xdr:colOff>
      <xdr:row>1</xdr:row>
      <xdr:rowOff>0</xdr:rowOff>
    </xdr:from>
    <xdr:to>
      <xdr:col>22</xdr:col>
      <xdr:colOff>0</xdr:colOff>
      <xdr:row>26</xdr:row>
      <xdr:rowOff>0</xdr:rowOff>
    </xdr:to>
    <xdr:graphicFrame macro="">
      <xdr:nvGraphicFramePr>
        <xdr:cNvPr id="3" name="cht_side">
          <a:extLst>
            <a:ext uri="{FF2B5EF4-FFF2-40B4-BE49-F238E27FC236}">
              <a16:creationId xmlns:a16="http://schemas.microsoft.com/office/drawing/2014/main" id="{76DD1C53-17E3-49FE-99FE-D81B097B8C9E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11</xdr:col>
      <xdr:colOff>0</xdr:colOff>
      <xdr:row>27</xdr:row>
      <xdr:rowOff>0</xdr:rowOff>
    </xdr:from>
    <xdr:to>
      <xdr:col>16</xdr:col>
      <xdr:colOff>0</xdr:colOff>
      <xdr:row>42</xdr:row>
      <xdr:rowOff>0</xdr:rowOff>
    </xdr:to>
    <xdr:graphicFrame macro="">
      <xdr:nvGraphicFramePr>
        <xdr:cNvPr id="4" name="cht_back">
          <a:extLst>
            <a:ext uri="{FF2B5EF4-FFF2-40B4-BE49-F238E27FC236}">
              <a16:creationId xmlns:a16="http://schemas.microsoft.com/office/drawing/2014/main" id="{5B353648-7994-4E21-AC60-86F8043590B2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2</xdr:col>
          <xdr:colOff>571500</xdr:colOff>
          <xdr:row>0</xdr:row>
          <xdr:rowOff>0</xdr:rowOff>
        </xdr:from>
        <xdr:to>
          <xdr:col>3</xdr:col>
          <xdr:colOff>571500</xdr:colOff>
          <xdr:row>1</xdr:row>
          <xdr:rowOff>0</xdr:rowOff>
        </xdr:to>
        <xdr:sp macro="" textlink="">
          <xdr:nvSpPr>
            <xdr:cNvPr id="2049" name="Button 1" hidden="1">
              <a:extLst>
                <a:ext uri="{63B3BB69-23CF-44E3-9099-C40C66FF867C}">
                  <a14:compatExt spid="_x0000_s2049"/>
                </a:ext>
                <a:ext uri="{FF2B5EF4-FFF2-40B4-BE49-F238E27FC236}">
                  <a16:creationId xmlns:a16="http://schemas.microsoft.com/office/drawing/2014/main" id="{00000000-0008-0000-0100-000001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AU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Load</a:t>
              </a:r>
            </a:p>
          </xdr:txBody>
        </xdr:sp>
        <xdr:clientData fPrintsWithSheet="0"/>
      </xdr:twoCellAnchor>
    </mc:Choice>
    <mc:Fallback/>
  </mc:AlternateContent>
</xdr:wsDr>
</file>

<file path=xl/drawings/drawing3.xml><?xml version="1.0" encoding="utf-8"?>
<xdr:wsDr xmlns:xdr="http://schemas.openxmlformats.org/drawingml/2006/spreadsheetDrawing" xmlns:a="http://schemas.openxmlformats.org/drawingml/2006/main">
  <xdr:twoCellAnchor>
    <xdr:from>
      <xdr:col>6</xdr:col>
      <xdr:colOff>0</xdr:colOff>
      <xdr:row>1</xdr:row>
      <xdr:rowOff>0</xdr:rowOff>
    </xdr:from>
    <xdr:to>
      <xdr:col>11</xdr:col>
      <xdr:colOff>0</xdr:colOff>
      <xdr:row>26</xdr:row>
      <xdr:rowOff>0</xdr:rowOff>
    </xdr:to>
    <xdr:graphicFrame macro="">
      <xdr:nvGraphicFramePr>
        <xdr:cNvPr id="2" name="cht_Top">
          <a:extLst>
            <a:ext uri="{FF2B5EF4-FFF2-40B4-BE49-F238E27FC236}">
              <a16:creationId xmlns:a16="http://schemas.microsoft.com/office/drawing/2014/main" id="{918802B8-92F6-4BD2-B0A4-D0F588165D47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12</xdr:col>
      <xdr:colOff>0</xdr:colOff>
      <xdr:row>1</xdr:row>
      <xdr:rowOff>0</xdr:rowOff>
    </xdr:from>
    <xdr:to>
      <xdr:col>17</xdr:col>
      <xdr:colOff>0</xdr:colOff>
      <xdr:row>26</xdr:row>
      <xdr:rowOff>0</xdr:rowOff>
    </xdr:to>
    <xdr:graphicFrame macro="">
      <xdr:nvGraphicFramePr>
        <xdr:cNvPr id="3" name="cht_side">
          <a:extLst>
            <a:ext uri="{FF2B5EF4-FFF2-40B4-BE49-F238E27FC236}">
              <a16:creationId xmlns:a16="http://schemas.microsoft.com/office/drawing/2014/main" id="{ADCC61C0-8291-4D95-B46A-344E17F2D467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6</xdr:col>
      <xdr:colOff>0</xdr:colOff>
      <xdr:row>27</xdr:row>
      <xdr:rowOff>0</xdr:rowOff>
    </xdr:from>
    <xdr:to>
      <xdr:col>11</xdr:col>
      <xdr:colOff>0</xdr:colOff>
      <xdr:row>42</xdr:row>
      <xdr:rowOff>0</xdr:rowOff>
    </xdr:to>
    <xdr:graphicFrame macro="">
      <xdr:nvGraphicFramePr>
        <xdr:cNvPr id="4" name="cht_back">
          <a:extLst>
            <a:ext uri="{FF2B5EF4-FFF2-40B4-BE49-F238E27FC236}">
              <a16:creationId xmlns:a16="http://schemas.microsoft.com/office/drawing/2014/main" id="{8621B77F-954A-4E9E-A923-85A064225158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10</xdr:col>
          <xdr:colOff>0</xdr:colOff>
          <xdr:row>0</xdr:row>
          <xdr:rowOff>0</xdr:rowOff>
        </xdr:from>
        <xdr:to>
          <xdr:col>11</xdr:col>
          <xdr:colOff>0</xdr:colOff>
          <xdr:row>1</xdr:row>
          <xdr:rowOff>0</xdr:rowOff>
        </xdr:to>
        <xdr:sp macro="" textlink="">
          <xdr:nvSpPr>
            <xdr:cNvPr id="3073" name="Button 1" hidden="1">
              <a:extLst>
                <a:ext uri="{63B3BB69-23CF-44E3-9099-C40C66FF867C}">
                  <a14:compatExt spid="_x0000_s3073"/>
                </a:ext>
                <a:ext uri="{FF2B5EF4-FFF2-40B4-BE49-F238E27FC236}">
                  <a16:creationId xmlns:a16="http://schemas.microsoft.com/office/drawing/2014/main" id="{00000000-0008-0000-0200-000001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AU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Write</a:t>
              </a:r>
            </a:p>
          </xdr:txBody>
        </xdr:sp>
        <xdr:clientData fPrintsWithSheet="0"/>
      </xdr:twoCellAnchor>
    </mc:Choice>
    <mc:Fallback/>
  </mc:AlternateContent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0E2841"/>
      </a:dk2>
      <a:lt2>
        <a:srgbClr val="E8E8E8"/>
      </a:lt2>
      <a:accent1>
        <a:srgbClr val="156082"/>
      </a:accent1>
      <a:accent2>
        <a:srgbClr val="E97132"/>
      </a:accent2>
      <a:accent3>
        <a:srgbClr val="196B24"/>
      </a:accent3>
      <a:accent4>
        <a:srgbClr val="0F9ED5"/>
      </a:accent4>
      <a:accent5>
        <a:srgbClr val="A02B93"/>
      </a:accent5>
      <a:accent6>
        <a:srgbClr val="4EA72E"/>
      </a:accent6>
      <a:hlink>
        <a:srgbClr val="467886"/>
      </a:hlink>
      <a:folHlink>
        <a:srgbClr val="96607D"/>
      </a:folHlink>
    </a:clrScheme>
    <a:fontScheme name="Office">
      <a:majorFont>
        <a:latin typeface="Aptos Display" panose="0211000402020202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Aptos Narrow" panose="0211000402020202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  <a:ln w="2540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>
    <a:lnDef>
      <a:spPr/>
      <a:bodyPr/>
      <a:lstStyle/>
      <a:style>
        <a:lnRef idx="2">
          <a:schemeClr val="accent1"/>
        </a:lnRef>
        <a:fillRef idx="0">
          <a:schemeClr val="accent1"/>
        </a:fillRef>
        <a:effectRef idx="1">
          <a:schemeClr val="accent1"/>
        </a:effectRef>
        <a:fontRef idx="minor">
          <a:schemeClr val="tx1"/>
        </a:fontRef>
      </a:style>
    </a:lnDef>
  </a:objectDefaults>
  <a:extraClrSchemeLst/>
  <a:extLst>
    <a:ext uri="{05A4C25C-085E-4340-85A3-A5531E510DB2}">
      <thm15:themeFamily xmlns:thm15="http://schemas.microsoft.com/office/thememl/2012/main" name="Office Theme" id="{2E142A2C-CD16-42D6-873A-C26D2A0506FA}" vid="{1BDDFF52-6CD6-40A5-AB3C-68EB2F1E4D0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1.xml"/><Relationship Id="rId2" Type="http://schemas.openxmlformats.org/officeDocument/2006/relationships/vmlDrawing" Target="../drawings/vmlDrawing1.vml"/><Relationship Id="rId1" Type="http://schemas.openxmlformats.org/officeDocument/2006/relationships/drawing" Target="../drawings/drawing1.xml"/></Relationships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2.xml"/><Relationship Id="rId2" Type="http://schemas.openxmlformats.org/officeDocument/2006/relationships/vmlDrawing" Target="../drawings/vmlDrawing2.vml"/><Relationship Id="rId1" Type="http://schemas.openxmlformats.org/officeDocument/2006/relationships/drawing" Target="../drawings/drawing2.xml"/></Relationships>
</file>

<file path=xl/worksheets/_rels/sheet3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3.xml"/><Relationship Id="rId2" Type="http://schemas.openxmlformats.org/officeDocument/2006/relationships/vmlDrawing" Target="../drawings/vmlDrawing3.vml"/><Relationship Id="rId1" Type="http://schemas.openxmlformats.org/officeDocument/2006/relationships/drawing" Target="../drawings/drawing3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053ACCA-6E6A-42F7-B5A5-56AD77295851}">
  <sheetPr codeName="Sheet1"/>
  <dimension ref="A1:AD21"/>
  <sheetViews>
    <sheetView tabSelected="1" workbookViewId="0">
      <selection activeCell="E37" sqref="E37"/>
    </sheetView>
  </sheetViews>
  <sheetFormatPr defaultRowHeight="15" x14ac:dyDescent="0.25"/>
  <cols>
    <col min="5" max="5" width="6" customWidth="1"/>
    <col min="10" max="10" width="2.28515625" customWidth="1"/>
    <col min="27" max="27" width="10.140625" bestFit="1" customWidth="1"/>
    <col min="28" max="28" width="11.28515625" bestFit="1" customWidth="1"/>
    <col min="29" max="29" width="12.28515625" bestFit="1" customWidth="1"/>
  </cols>
  <sheetData>
    <row r="1" spans="1:30" x14ac:dyDescent="0.25">
      <c r="A1" s="1" t="s">
        <v>0</v>
      </c>
      <c r="B1" s="1" t="s">
        <v>1</v>
      </c>
      <c r="C1" s="1" t="s">
        <v>2</v>
      </c>
      <c r="E1" s="1" t="s">
        <v>3</v>
      </c>
      <c r="G1" s="1" t="s">
        <v>0</v>
      </c>
      <c r="H1" s="1" t="s">
        <v>1</v>
      </c>
      <c r="I1" s="1" t="s">
        <v>2</v>
      </c>
      <c r="J1" s="1"/>
      <c r="L1" s="83" t="s">
        <v>7</v>
      </c>
      <c r="M1" s="83"/>
      <c r="N1" s="83"/>
      <c r="O1" s="83"/>
      <c r="P1" s="83"/>
      <c r="Q1" s="83"/>
      <c r="R1" s="83"/>
      <c r="S1" s="83"/>
      <c r="T1" s="83"/>
      <c r="U1" s="83"/>
      <c r="V1" s="83"/>
      <c r="AA1" s="2" t="s">
        <v>4</v>
      </c>
      <c r="AB1" s="2" t="s">
        <v>5</v>
      </c>
      <c r="AC1" s="2" t="s">
        <v>6</v>
      </c>
      <c r="AD1" s="2" t="s">
        <v>9</v>
      </c>
    </row>
    <row r="2" spans="1:30" x14ac:dyDescent="0.25">
      <c r="A2">
        <v>19.988536834716797</v>
      </c>
      <c r="B2">
        <v>34.088539123535156</v>
      </c>
      <c r="C2">
        <v>8.526209831237793</v>
      </c>
      <c r="E2" s="2">
        <v>1</v>
      </c>
      <c r="G2" cm="1">
        <f t="array" ref="G2">INDEX(A$2:A$1048576,$E2)</f>
        <v>19.988536834716797</v>
      </c>
      <c r="H2" cm="1">
        <f t="array" ref="H2">INDEX(B$2:B$1048576,$E2)</f>
        <v>34.088539123535156</v>
      </c>
      <c r="I2" cm="1">
        <f t="array" ref="I2">INDEX(C$2:C$1048576,$E2)</f>
        <v>8.526209831237793</v>
      </c>
      <c r="K2" s="3">
        <v>66047</v>
      </c>
      <c r="AA2" s="2">
        <v>1</v>
      </c>
      <c r="AB2" s="2">
        <v>20</v>
      </c>
      <c r="AC2" s="2">
        <v>3</v>
      </c>
      <c r="AD2" s="2">
        <v>1</v>
      </c>
    </row>
    <row r="3" spans="1:30" x14ac:dyDescent="0.25">
      <c r="A3">
        <v>24.542546792087542</v>
      </c>
      <c r="B3">
        <v>35.474393995158721</v>
      </c>
      <c r="C3">
        <v>8.3837897434089044</v>
      </c>
      <c r="E3" s="2">
        <v>20</v>
      </c>
      <c r="G3" cm="1">
        <f t="array" ref="G3">INDEX(A$2:A$1048576,$E3)</f>
        <v>17.447378798191611</v>
      </c>
      <c r="H3" cm="1">
        <f t="array" ref="H3">INDEX(B$2:B$1048576,$E3)</f>
        <v>31.851467794587027</v>
      </c>
      <c r="I3" cm="1">
        <f t="array" ref="I3">INDEX(C$2:C$1048576,$E3)</f>
        <v>7.7378903974518671</v>
      </c>
      <c r="K3" s="35">
        <v>69119</v>
      </c>
      <c r="AA3" s="2">
        <v>2</v>
      </c>
      <c r="AB3" s="2">
        <v>19</v>
      </c>
      <c r="AC3" s="2">
        <v>4</v>
      </c>
      <c r="AD3" s="2">
        <v>20</v>
      </c>
    </row>
    <row r="4" spans="1:30" x14ac:dyDescent="0.25">
      <c r="A4">
        <v>28.973149472029213</v>
      </c>
      <c r="B4">
        <v>33.398653118411595</v>
      </c>
      <c r="C4">
        <v>8.6846130035911049</v>
      </c>
      <c r="E4" s="2">
        <v>19</v>
      </c>
      <c r="G4" cm="1">
        <f t="array" ref="G4">INDEX(A$2:A$1048576,$E4)</f>
        <v>15.620215698107327</v>
      </c>
      <c r="H4" cm="1">
        <f t="array" ref="H4">INDEX(B$2:B$1048576,$E4)</f>
        <v>28.467178932877331</v>
      </c>
      <c r="I4" cm="1">
        <f t="array" ref="I4">INDEX(C$2:C$1048576,$E4)</f>
        <v>8.6495438438248442</v>
      </c>
      <c r="K4" s="36">
        <v>73727</v>
      </c>
      <c r="AA4" s="2">
        <v>3</v>
      </c>
      <c r="AB4" s="2">
        <v>18</v>
      </c>
      <c r="AC4" s="2">
        <v>5</v>
      </c>
      <c r="AD4" s="2">
        <v>19</v>
      </c>
    </row>
    <row r="5" spans="1:30" x14ac:dyDescent="0.25">
      <c r="A5">
        <v>32.856148584398156</v>
      </c>
      <c r="B5">
        <v>29.845343476201815</v>
      </c>
      <c r="C5">
        <v>10.022898827638143</v>
      </c>
      <c r="E5" s="2">
        <v>18</v>
      </c>
      <c r="G5" cm="1">
        <f t="array" ref="G5">INDEX(A$2:A$1048576,$E5)</f>
        <v>14.785112240309878</v>
      </c>
      <c r="H5" cm="1">
        <f t="array" ref="H5">INDEX(B$2:B$1048576,$E5)</f>
        <v>24.24344574432326</v>
      </c>
      <c r="I5" cm="1">
        <f t="array" ref="I5">INDEX(C$2:C$1048576,$E5)</f>
        <v>9.21030866933285</v>
      </c>
      <c r="K5" s="37">
        <v>76799</v>
      </c>
      <c r="AA5" s="2">
        <v>4</v>
      </c>
      <c r="AB5" s="2">
        <v>17</v>
      </c>
      <c r="AC5" s="2">
        <v>6</v>
      </c>
      <c r="AD5" s="2">
        <v>18</v>
      </c>
    </row>
    <row r="6" spans="1:30" x14ac:dyDescent="0.25">
      <c r="A6">
        <v>34.046503478516627</v>
      </c>
      <c r="B6">
        <v>25.072938550499821</v>
      </c>
      <c r="C6">
        <v>10.391627065539124</v>
      </c>
      <c r="E6" s="2">
        <v>17</v>
      </c>
      <c r="G6" cm="1">
        <f t="array" ref="G6">INDEX(A$2:A$1048576,$E6)</f>
        <v>15.389990992717337</v>
      </c>
      <c r="H6" cm="1">
        <f t="array" ref="H6">INDEX(B$2:B$1048576,$E6)</f>
        <v>20.339242902651513</v>
      </c>
      <c r="I6" cm="1">
        <f t="array" ref="I6">INDEX(C$2:C$1048576,$E6)</f>
        <v>10.314599169737038</v>
      </c>
      <c r="K6" s="9">
        <v>81407</v>
      </c>
      <c r="AA6" s="2">
        <v>5</v>
      </c>
      <c r="AB6" s="2">
        <v>16</v>
      </c>
      <c r="AC6" s="2">
        <v>7</v>
      </c>
      <c r="AD6" s="2">
        <v>17</v>
      </c>
    </row>
    <row r="7" spans="1:30" x14ac:dyDescent="0.25">
      <c r="A7">
        <v>35.175398321336885</v>
      </c>
      <c r="B7">
        <v>20.225982075776543</v>
      </c>
      <c r="C7">
        <v>8.7702641455289445</v>
      </c>
      <c r="E7" s="2">
        <v>16</v>
      </c>
      <c r="G7" cm="1">
        <f t="array" ref="G7">INDEX(A$2:A$1048576,$E7)</f>
        <v>15.226098545388934</v>
      </c>
      <c r="H7" cm="1">
        <f t="array" ref="H7">INDEX(B$2:B$1048576,$E7)</f>
        <v>16.984474528309125</v>
      </c>
      <c r="I7" cm="1">
        <f t="array" ref="I7">INDEX(C$2:C$1048576,$E7)</f>
        <v>11.153500658026353</v>
      </c>
      <c r="K7" s="4">
        <v>84479</v>
      </c>
      <c r="AA7" s="2">
        <v>6</v>
      </c>
      <c r="AB7" s="2">
        <v>15</v>
      </c>
      <c r="AC7" s="2">
        <v>8</v>
      </c>
      <c r="AD7" s="2">
        <v>16</v>
      </c>
    </row>
    <row r="8" spans="1:30" x14ac:dyDescent="0.25">
      <c r="A8">
        <v>34.300026529564398</v>
      </c>
      <c r="B8">
        <v>15.344019948801691</v>
      </c>
      <c r="C8">
        <v>7.2146699669787111</v>
      </c>
      <c r="E8" s="2">
        <v>15</v>
      </c>
      <c r="G8" cm="1">
        <f t="array" ref="G8">INDEX(A$2:A$1048576,$E8)</f>
        <v>14.589895416464751</v>
      </c>
      <c r="H8" cm="1">
        <f t="array" ref="H8">INDEX(B$2:B$1048576,$E8)</f>
        <v>13.747956596199705</v>
      </c>
      <c r="I8" cm="1">
        <f t="array" ref="I8">INDEX(C$2:C$1048576,$E8)</f>
        <v>9.9378186291302875</v>
      </c>
      <c r="K8" s="38">
        <v>89087</v>
      </c>
      <c r="AA8" s="2">
        <v>7</v>
      </c>
      <c r="AB8" s="2">
        <v>14</v>
      </c>
      <c r="AC8" s="2">
        <v>9</v>
      </c>
      <c r="AD8" s="2">
        <v>15</v>
      </c>
    </row>
    <row r="9" spans="1:30" x14ac:dyDescent="0.25">
      <c r="A9">
        <v>34.148806594067821</v>
      </c>
      <c r="B9">
        <v>10.133953021715399</v>
      </c>
      <c r="C9">
        <v>5.6309749641018811</v>
      </c>
      <c r="E9" s="2">
        <v>14</v>
      </c>
      <c r="G9" cm="1">
        <f t="array" ref="G9">INDEX(A$2:A$1048576,$E9)</f>
        <v>14.74495500503205</v>
      </c>
      <c r="H9" cm="1">
        <f t="array" ref="H9">INDEX(B$2:B$1048576,$E9)</f>
        <v>10.308883520962301</v>
      </c>
      <c r="I9" cm="1">
        <f t="array" ref="I9">INDEX(C$2:C$1048576,$E9)</f>
        <v>9.1086367813538658</v>
      </c>
      <c r="K9" s="39">
        <v>92159</v>
      </c>
      <c r="AA9" s="2">
        <v>8</v>
      </c>
      <c r="AB9" s="2">
        <v>13</v>
      </c>
      <c r="AC9" s="2">
        <v>10</v>
      </c>
      <c r="AD9" s="2">
        <v>14</v>
      </c>
    </row>
    <row r="10" spans="1:30" x14ac:dyDescent="0.25">
      <c r="A10">
        <v>31.575491836744039</v>
      </c>
      <c r="B10">
        <v>5.6972256201529046</v>
      </c>
      <c r="C10">
        <v>8.3223110361798014</v>
      </c>
      <c r="E10" s="2">
        <v>13</v>
      </c>
      <c r="G10" cm="1">
        <f t="array" ref="G10">INDEX(A$2:A$1048576,$E10)</f>
        <v>15.954898710465152</v>
      </c>
      <c r="H10" cm="1">
        <f t="array" ref="H10">INDEX(B$2:B$1048576,$E10)</f>
        <v>6.5361504225058846</v>
      </c>
      <c r="I10" cm="1">
        <f t="array" ref="I10">INDEX(C$2:C$1048576,$E10)</f>
        <v>7.8809415270234533</v>
      </c>
      <c r="K10" s="10">
        <v>96767</v>
      </c>
      <c r="AA10" s="2">
        <v>9</v>
      </c>
      <c r="AB10" s="2">
        <v>12</v>
      </c>
      <c r="AC10" s="2">
        <v>11</v>
      </c>
      <c r="AD10" s="2">
        <v>13</v>
      </c>
    </row>
    <row r="11" spans="1:30" x14ac:dyDescent="0.25">
      <c r="A11">
        <v>26.960432848167457</v>
      </c>
      <c r="B11">
        <v>2.3255512058347465</v>
      </c>
      <c r="C11">
        <v>9.2665027375444762</v>
      </c>
      <c r="E11" s="2">
        <v>12</v>
      </c>
      <c r="G11" cm="1">
        <f t="array" ref="G11">INDEX(A$2:A$1048576,$E11)</f>
        <v>17.990780575023816</v>
      </c>
      <c r="H11" cm="1">
        <f t="array" ref="H11">INDEX(B$2:B$1048576,$E11)</f>
        <v>3.5410873638604485</v>
      </c>
      <c r="I11" cm="1">
        <f t="array" ref="I11">INDEX(C$2:C$1048576,$E11)</f>
        <v>7.2252750852123473</v>
      </c>
      <c r="K11" s="40">
        <v>99583</v>
      </c>
      <c r="AA11" s="2">
        <v>10</v>
      </c>
      <c r="AB11" s="2">
        <v>11</v>
      </c>
      <c r="AC11" s="2">
        <v>2</v>
      </c>
      <c r="AD11" s="2">
        <v>12</v>
      </c>
    </row>
    <row r="12" spans="1:30" x14ac:dyDescent="0.25">
      <c r="A12">
        <v>21.409704208374023</v>
      </c>
      <c r="B12">
        <v>1.5707168579101563</v>
      </c>
      <c r="C12">
        <v>8.3503875732421875</v>
      </c>
      <c r="E12" s="2">
        <v>11</v>
      </c>
      <c r="G12" cm="1">
        <f t="array" ref="G12">INDEX(A$2:A$1048576,$E12)</f>
        <v>21.409704208374023</v>
      </c>
      <c r="H12" cm="1">
        <f t="array" ref="H12">INDEX(B$2:B$1048576,$E12)</f>
        <v>1.5707168579101563</v>
      </c>
      <c r="I12" cm="1">
        <f t="array" ref="I12">INDEX(C$2:C$1048576,$E12)</f>
        <v>8.3503875732421875</v>
      </c>
      <c r="K12" s="5">
        <v>104191</v>
      </c>
      <c r="AA12" s="2">
        <v>11</v>
      </c>
      <c r="AB12" s="2">
        <v>10</v>
      </c>
      <c r="AC12" s="2">
        <v>12</v>
      </c>
      <c r="AD12" s="2">
        <v>11</v>
      </c>
    </row>
    <row r="13" spans="1:30" x14ac:dyDescent="0.25">
      <c r="A13">
        <v>17.990780575023816</v>
      </c>
      <c r="B13">
        <v>3.5410873638604485</v>
      </c>
      <c r="C13">
        <v>7.2252750852123473</v>
      </c>
      <c r="E13" s="2">
        <v>10</v>
      </c>
      <c r="G13" cm="1">
        <f t="array" ref="G13">INDEX(A$2:A$1048576,$E13)</f>
        <v>26.960432848167457</v>
      </c>
      <c r="H13" cm="1">
        <f t="array" ref="H13">INDEX(B$2:B$1048576,$E13)</f>
        <v>2.3255512058347465</v>
      </c>
      <c r="I13" cm="1">
        <f t="array" ref="I13">INDEX(C$2:C$1048576,$E13)</f>
        <v>9.2665027375444762</v>
      </c>
      <c r="K13" s="41">
        <v>107263</v>
      </c>
      <c r="AA13" s="2">
        <v>12</v>
      </c>
      <c r="AB13" s="2">
        <v>9</v>
      </c>
      <c r="AC13" s="2">
        <v>13</v>
      </c>
      <c r="AD13" s="2">
        <v>10</v>
      </c>
    </row>
    <row r="14" spans="1:30" x14ac:dyDescent="0.25">
      <c r="A14">
        <v>15.954898710465152</v>
      </c>
      <c r="B14">
        <v>6.5361504225058846</v>
      </c>
      <c r="C14">
        <v>7.8809415270234533</v>
      </c>
      <c r="E14" s="2">
        <v>9</v>
      </c>
      <c r="G14" cm="1">
        <f t="array" ref="G14">INDEX(A$2:A$1048576,$E14)</f>
        <v>31.575491836744039</v>
      </c>
      <c r="H14" cm="1">
        <f t="array" ref="H14">INDEX(B$2:B$1048576,$E14)</f>
        <v>5.6972256201529046</v>
      </c>
      <c r="I14" cm="1">
        <f t="array" ref="I14">INDEX(C$2:C$1048576,$E14)</f>
        <v>8.3223110361798014</v>
      </c>
      <c r="K14" s="11">
        <v>111871</v>
      </c>
      <c r="AA14" s="2">
        <v>13</v>
      </c>
      <c r="AB14" s="2">
        <v>8</v>
      </c>
      <c r="AC14" s="2">
        <v>14</v>
      </c>
      <c r="AD14" s="2">
        <v>9</v>
      </c>
    </row>
    <row r="15" spans="1:30" x14ac:dyDescent="0.25">
      <c r="A15">
        <v>14.74495500503205</v>
      </c>
      <c r="B15">
        <v>10.308883520962301</v>
      </c>
      <c r="C15">
        <v>9.1086367813538658</v>
      </c>
      <c r="E15" s="2">
        <v>8</v>
      </c>
      <c r="G15" cm="1">
        <f t="array" ref="G15">INDEX(A$2:A$1048576,$E15)</f>
        <v>34.148806594067821</v>
      </c>
      <c r="H15" cm="1">
        <f t="array" ref="H15">INDEX(B$2:B$1048576,$E15)</f>
        <v>10.133953021715399</v>
      </c>
      <c r="I15" cm="1">
        <f t="array" ref="I15">INDEX(C$2:C$1048576,$E15)</f>
        <v>5.6309749641018811</v>
      </c>
      <c r="K15" s="42">
        <v>114943</v>
      </c>
      <c r="AA15" s="2">
        <v>14</v>
      </c>
      <c r="AB15" s="2">
        <v>7</v>
      </c>
      <c r="AC15" s="2">
        <v>15</v>
      </c>
      <c r="AD15" s="2">
        <v>8</v>
      </c>
    </row>
    <row r="16" spans="1:30" x14ac:dyDescent="0.25">
      <c r="A16">
        <v>14.589895416464751</v>
      </c>
      <c r="B16">
        <v>13.747956596199705</v>
      </c>
      <c r="C16">
        <v>9.9378186291302875</v>
      </c>
      <c r="E16" s="2">
        <v>7</v>
      </c>
      <c r="G16" cm="1">
        <f t="array" ref="G16">INDEX(A$2:A$1048576,$E16)</f>
        <v>34.300026529564398</v>
      </c>
      <c r="H16" cm="1">
        <f t="array" ref="H16">INDEX(B$2:B$1048576,$E16)</f>
        <v>15.344019948801691</v>
      </c>
      <c r="I16" cm="1">
        <f t="array" ref="I16">INDEX(C$2:C$1048576,$E16)</f>
        <v>7.2146699669787111</v>
      </c>
      <c r="K16" s="43">
        <v>119551</v>
      </c>
      <c r="AA16" s="2">
        <v>15</v>
      </c>
      <c r="AB16" s="2">
        <v>6</v>
      </c>
      <c r="AC16" s="2">
        <v>16</v>
      </c>
      <c r="AD16" s="2">
        <v>7</v>
      </c>
    </row>
    <row r="17" spans="1:30" x14ac:dyDescent="0.25">
      <c r="A17">
        <v>15.226098545388934</v>
      </c>
      <c r="B17">
        <v>16.984474528309125</v>
      </c>
      <c r="C17">
        <v>11.153500658026353</v>
      </c>
      <c r="E17" s="2">
        <v>6</v>
      </c>
      <c r="G17" cm="1">
        <f t="array" ref="G17">INDEX(A$2:A$1048576,$E17)</f>
        <v>35.175398321336885</v>
      </c>
      <c r="H17" cm="1">
        <f t="array" ref="H17">INDEX(B$2:B$1048576,$E17)</f>
        <v>20.225982075776543</v>
      </c>
      <c r="I17" cm="1">
        <f t="array" ref="I17">INDEX(C$2:C$1048576,$E17)</f>
        <v>8.7702641455289445</v>
      </c>
      <c r="K17" s="26">
        <v>122623</v>
      </c>
      <c r="AA17" s="2">
        <v>16</v>
      </c>
      <c r="AB17" s="2">
        <v>5</v>
      </c>
      <c r="AC17" s="2">
        <v>17</v>
      </c>
      <c r="AD17" s="2">
        <v>6</v>
      </c>
    </row>
    <row r="18" spans="1:30" x14ac:dyDescent="0.25">
      <c r="A18">
        <v>15.389990992717337</v>
      </c>
      <c r="B18">
        <v>20.339242902651513</v>
      </c>
      <c r="C18">
        <v>10.314599169737038</v>
      </c>
      <c r="E18" s="2">
        <v>5</v>
      </c>
      <c r="G18" cm="1">
        <f t="array" ref="G18">INDEX(A$2:A$1048576,$E18)</f>
        <v>34.046503478516627</v>
      </c>
      <c r="H18" cm="1">
        <f t="array" ref="H18">INDEX(B$2:B$1048576,$E18)</f>
        <v>25.072938550499821</v>
      </c>
      <c r="I18" cm="1">
        <f t="array" ref="I18">INDEX(C$2:C$1048576,$E18)</f>
        <v>10.391627065539124</v>
      </c>
      <c r="K18" s="12">
        <v>127231</v>
      </c>
      <c r="AA18" s="2">
        <v>17</v>
      </c>
      <c r="AB18" s="2">
        <v>4</v>
      </c>
      <c r="AC18" s="2">
        <v>18</v>
      </c>
      <c r="AD18" s="2">
        <v>5</v>
      </c>
    </row>
    <row r="19" spans="1:30" x14ac:dyDescent="0.25">
      <c r="A19">
        <v>14.785112240309878</v>
      </c>
      <c r="B19">
        <v>24.24344574432326</v>
      </c>
      <c r="C19">
        <v>9.21030866933285</v>
      </c>
      <c r="E19" s="2">
        <v>4</v>
      </c>
      <c r="G19" cm="1">
        <f t="array" ref="G19">INDEX(A$2:A$1048576,$E19)</f>
        <v>32.856148584398156</v>
      </c>
      <c r="H19" cm="1">
        <f t="array" ref="H19">INDEX(B$2:B$1048576,$E19)</f>
        <v>29.845343476201815</v>
      </c>
      <c r="I19" cm="1">
        <f t="array" ref="I19">INDEX(C$2:C$1048576,$E19)</f>
        <v>10.022898827638143</v>
      </c>
      <c r="K19" s="44">
        <v>130303</v>
      </c>
      <c r="AA19" s="2">
        <v>18</v>
      </c>
      <c r="AB19" s="2">
        <v>3</v>
      </c>
      <c r="AC19" s="2">
        <v>1</v>
      </c>
      <c r="AD19" s="2">
        <v>4</v>
      </c>
    </row>
    <row r="20" spans="1:30" x14ac:dyDescent="0.25">
      <c r="A20">
        <v>15.620215698107327</v>
      </c>
      <c r="B20">
        <v>28.467178932877331</v>
      </c>
      <c r="C20">
        <v>8.6495438438248442</v>
      </c>
      <c r="E20" s="2">
        <v>3</v>
      </c>
      <c r="G20" cm="1">
        <f t="array" ref="G20">INDEX(A$2:A$1048576,$E20)</f>
        <v>28.973149472029213</v>
      </c>
      <c r="H20" cm="1">
        <f t="array" ref="H20">INDEX(B$2:B$1048576,$E20)</f>
        <v>33.398653118411595</v>
      </c>
      <c r="I20" cm="1">
        <f t="array" ref="I20">INDEX(C$2:C$1048576,$E20)</f>
        <v>8.6846130035911049</v>
      </c>
      <c r="K20" s="45">
        <v>131056</v>
      </c>
      <c r="AA20" s="2">
        <v>19</v>
      </c>
      <c r="AB20" s="2">
        <v>2</v>
      </c>
      <c r="AC20" s="2">
        <v>19</v>
      </c>
      <c r="AD20" s="2">
        <v>3</v>
      </c>
    </row>
    <row r="21" spans="1:30" x14ac:dyDescent="0.25">
      <c r="A21">
        <v>17.447378798191611</v>
      </c>
      <c r="B21">
        <v>31.851467794587027</v>
      </c>
      <c r="C21">
        <v>7.7378903974518671</v>
      </c>
      <c r="E21" s="2">
        <v>2</v>
      </c>
      <c r="G21" cm="1">
        <f t="array" ref="G21">INDEX(A$2:A$1048576,$E21)</f>
        <v>24.542546792087542</v>
      </c>
      <c r="H21" cm="1">
        <f t="array" ref="H21">INDEX(B$2:B$1048576,$E21)</f>
        <v>35.474393995158721</v>
      </c>
      <c r="I21" cm="1">
        <f t="array" ref="I21">INDEX(C$2:C$1048576,$E21)</f>
        <v>8.3837897434089044</v>
      </c>
      <c r="K21" s="46">
        <v>131044</v>
      </c>
      <c r="AA21" s="2">
        <v>20</v>
      </c>
      <c r="AB21" s="2">
        <v>1</v>
      </c>
      <c r="AC21" s="2">
        <v>20</v>
      </c>
      <c r="AD21" s="2">
        <v>2</v>
      </c>
    </row>
  </sheetData>
  <sortState xmlns:xlrd2="http://schemas.microsoft.com/office/spreadsheetml/2017/richdata2" ref="E2:E21">
    <sortCondition descending="1" ref="E2:E21"/>
  </sortState>
  <dataConsolidate/>
  <conditionalFormatting sqref="E1:E1048576">
    <cfRule type="duplicateValues" dxfId="8" priority="8"/>
  </conditionalFormatting>
  <conditionalFormatting sqref="AC2:AC21">
    <cfRule type="duplicateValues" dxfId="7" priority="6"/>
  </conditionalFormatting>
  <conditionalFormatting sqref="B2:B21">
    <cfRule type="top10" dxfId="5" priority="5" rank="1"/>
    <cfRule type="top10" dxfId="6" priority="4" bottom="1" rank="1"/>
  </conditionalFormatting>
  <conditionalFormatting sqref="A2:A21">
    <cfRule type="top10" dxfId="3" priority="2" bottom="1" rank="1"/>
    <cfRule type="top10" dxfId="4" priority="3" rank="1"/>
  </conditionalFormatting>
  <conditionalFormatting sqref="AD2:AD21">
    <cfRule type="duplicateValues" dxfId="0" priority="1"/>
  </conditionalFormatting>
  <pageMargins left="0.7" right="0.7" top="0.75" bottom="0.75" header="0.3" footer="0.3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5" r:id="rId3" name="Button 1">
              <controlPr defaultSize="0" print="0" autoFill="0" autoPict="0" macro="[0]!btnLoad_Base">
                <anchor moveWithCells="1" sizeWithCells="1">
                  <from>
                    <xdr:col>2</xdr:col>
                    <xdr:colOff>600075</xdr:colOff>
                    <xdr:row>0</xdr:row>
                    <xdr:rowOff>19050</xdr:rowOff>
                  </from>
                  <to>
                    <xdr:col>4</xdr:col>
                    <xdr:colOff>0</xdr:colOff>
                    <xdr:row>1</xdr:row>
                    <xdr:rowOff>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B184F05-CAA4-4C93-8B23-853C59DF6BCF}">
  <sheetPr codeName="Sheet2"/>
  <dimension ref="A1:V60"/>
  <sheetViews>
    <sheetView workbookViewId="0">
      <selection activeCell="E5" sqref="E5"/>
    </sheetView>
  </sheetViews>
  <sheetFormatPr defaultRowHeight="15" x14ac:dyDescent="0.25"/>
  <cols>
    <col min="5" max="5" width="6" customWidth="1"/>
    <col min="10" max="10" width="2.28515625" customWidth="1"/>
  </cols>
  <sheetData>
    <row r="1" spans="1:22" x14ac:dyDescent="0.25">
      <c r="A1" s="1" t="s">
        <v>0</v>
      </c>
      <c r="B1" s="1" t="s">
        <v>1</v>
      </c>
      <c r="C1" s="1" t="s">
        <v>2</v>
      </c>
      <c r="E1" s="1" t="s">
        <v>3</v>
      </c>
      <c r="G1" s="1" t="s">
        <v>0</v>
      </c>
      <c r="H1" s="1" t="s">
        <v>1</v>
      </c>
      <c r="I1" s="1" t="s">
        <v>2</v>
      </c>
      <c r="J1" s="1"/>
      <c r="L1" s="84" t="s">
        <v>8</v>
      </c>
      <c r="M1" s="84"/>
      <c r="N1" s="84"/>
      <c r="O1" s="84"/>
      <c r="P1" s="84"/>
      <c r="Q1" s="84"/>
      <c r="R1" s="84"/>
      <c r="S1" s="84"/>
      <c r="T1" s="84"/>
      <c r="U1" s="84"/>
      <c r="V1" s="84"/>
    </row>
    <row r="2" spans="1:22" x14ac:dyDescent="0.25">
      <c r="A2">
        <v>21.353885388571918</v>
      </c>
      <c r="B2">
        <v>1.1489184395648879</v>
      </c>
      <c r="C2">
        <v>10.245592776874039</v>
      </c>
      <c r="E2" s="2">
        <v>59</v>
      </c>
      <c r="G2" cm="1">
        <f t="array" ref="G2">INDEX(_xlfn._TRO_TRAILING(A$2:A$1048576),$E2)</f>
        <v>24.622679963595701</v>
      </c>
      <c r="H2" cm="1">
        <f t="array" ref="H2">INDEX(_xlfn._TRO_TRAILING(B$2:B$1048576),$E2)</f>
        <v>36.066009846335994</v>
      </c>
      <c r="I2" cm="1">
        <f t="array" ref="I2">INDEX(_xlfn._TRO_TRAILING(C$2:C$1048576),$E2)</f>
        <v>10.185391954155202</v>
      </c>
      <c r="K2" s="13">
        <v>131026</v>
      </c>
    </row>
    <row r="3" spans="1:22" x14ac:dyDescent="0.25">
      <c r="A3">
        <v>21.371526454211839</v>
      </c>
      <c r="B3">
        <v>0.37386210053711921</v>
      </c>
      <c r="C3">
        <v>11.981317988965676</v>
      </c>
      <c r="E3" s="2">
        <v>58</v>
      </c>
      <c r="G3" cm="1">
        <f t="array" ref="G3">INDEX(_xlfn._TRO_TRAILING(A$2:A$1048576),$E3)</f>
        <v>24.520280818927532</v>
      </c>
      <c r="H3" cm="1">
        <f t="array" ref="H3">INDEX(_xlfn._TRO_TRAILING(B$2:B$1048576),$E3)</f>
        <v>35.769831138590391</v>
      </c>
      <c r="I3" cm="1">
        <f t="array" ref="I3">INDEX(_xlfn._TRO_TRAILING(C$2:C$1048576),$E3)</f>
        <v>11.955278045502313</v>
      </c>
      <c r="K3" s="47">
        <v>131014</v>
      </c>
    </row>
    <row r="4" spans="1:22" x14ac:dyDescent="0.25">
      <c r="A4">
        <v>21.365248985762349</v>
      </c>
      <c r="B4">
        <v>-0.22407835097434539</v>
      </c>
      <c r="C4">
        <v>13.702808877601662</v>
      </c>
      <c r="E4" s="2">
        <v>57</v>
      </c>
      <c r="G4" cm="1">
        <f t="array" ref="G4">INDEX(_xlfn._TRO_TRAILING(A$2:A$1048576),$E4)</f>
        <v>24.755659040425844</v>
      </c>
      <c r="H4" cm="1">
        <f t="array" ref="H4">INDEX(_xlfn._TRO_TRAILING(B$2:B$1048576),$E4)</f>
        <v>35.455259005363949</v>
      </c>
      <c r="I4" cm="1">
        <f t="array" ref="I4">INDEX(_xlfn._TRO_TRAILING(C$2:C$1048576),$E4)</f>
        <v>13.717102357227432</v>
      </c>
      <c r="K4" s="27">
        <v>130996</v>
      </c>
    </row>
    <row r="5" spans="1:22" x14ac:dyDescent="0.25">
      <c r="A5">
        <v>21.489923790194066</v>
      </c>
      <c r="B5">
        <v>0.97797817764509531</v>
      </c>
      <c r="C5">
        <v>14.77949539709789</v>
      </c>
      <c r="E5" s="2">
        <v>56</v>
      </c>
      <c r="G5" cm="1">
        <f t="array" ref="G5">INDEX(_xlfn._TRO_TRAILING(A$2:A$1048576),$E5)</f>
        <v>24.115061543554543</v>
      </c>
      <c r="H5" cm="1">
        <f t="array" ref="H5">INDEX(_xlfn._TRO_TRAILING(B$2:B$1048576),$E5)</f>
        <v>35.842902262971393</v>
      </c>
      <c r="I5" cm="1">
        <f t="array" ref="I5">INDEX(_xlfn._TRO_TRAILING(C$2:C$1048576),$E5)</f>
        <v>15.30656950633667</v>
      </c>
      <c r="K5" s="48">
        <v>130984</v>
      </c>
    </row>
    <row r="6" spans="1:22" x14ac:dyDescent="0.25">
      <c r="A6">
        <v>21.365552349383794</v>
      </c>
      <c r="B6">
        <v>0.62730645024697362</v>
      </c>
      <c r="C6">
        <v>16.493219574680214</v>
      </c>
      <c r="E6" s="2">
        <v>55</v>
      </c>
      <c r="G6" cm="1">
        <f t="array" ref="G6">INDEX(_xlfn._TRO_TRAILING(A$2:A$1048576),$E6)</f>
        <v>23.338956005922093</v>
      </c>
      <c r="H6" cm="1">
        <f t="array" ref="H6">INDEX(_xlfn._TRO_TRAILING(B$2:B$1048576),$E6)</f>
        <v>36.035257700619155</v>
      </c>
      <c r="I6" cm="1">
        <f t="array" ref="I6">INDEX(_xlfn._TRO_TRAILING(C$2:C$1048576),$E6)</f>
        <v>16.994504836384529</v>
      </c>
      <c r="K6" s="14">
        <v>130966</v>
      </c>
    </row>
    <row r="7" spans="1:22" x14ac:dyDescent="0.25">
      <c r="A7">
        <v>21.306296675203484</v>
      </c>
      <c r="B7">
        <v>0.16014042678031171</v>
      </c>
      <c r="C7">
        <v>18.286664782775802</v>
      </c>
      <c r="E7" s="2">
        <v>54</v>
      </c>
      <c r="G7" cm="1">
        <f t="array" ref="G7">INDEX(_xlfn._TRO_TRAILING(A$2:A$1048576),$E7)</f>
        <v>22.292674648434559</v>
      </c>
      <c r="H7" cm="1">
        <f t="array" ref="H7">INDEX(_xlfn._TRO_TRAILING(B$2:B$1048576),$E7)</f>
        <v>35.084950943240329</v>
      </c>
      <c r="I7" cm="1">
        <f t="array" ref="I7">INDEX(_xlfn._TRO_TRAILING(C$2:C$1048576),$E7)</f>
        <v>17.883265076945321</v>
      </c>
      <c r="K7" s="28">
        <v>130954</v>
      </c>
    </row>
    <row r="8" spans="1:22" x14ac:dyDescent="0.25">
      <c r="A8">
        <v>21.227797044109252</v>
      </c>
      <c r="B8">
        <v>-0.28505860706214498</v>
      </c>
      <c r="C8">
        <v>20.181016219553182</v>
      </c>
      <c r="E8" s="2">
        <v>53</v>
      </c>
      <c r="G8" cm="1">
        <f t="array" ref="G8">INDEX(_xlfn._TRO_TRAILING(A$2:A$1048576),$E8)</f>
        <v>22.169197546790961</v>
      </c>
      <c r="H8" cm="1">
        <f t="array" ref="H8">INDEX(_xlfn._TRO_TRAILING(B$2:B$1048576),$E8)</f>
        <v>33.378611341479697</v>
      </c>
      <c r="I8" cm="1">
        <f t="array" ref="I8">INDEX(_xlfn._TRO_TRAILING(C$2:C$1048576),$E8)</f>
        <v>16.945582828708918</v>
      </c>
      <c r="K8" s="49">
        <v>130937</v>
      </c>
    </row>
    <row r="9" spans="1:22" x14ac:dyDescent="0.25">
      <c r="A9">
        <v>21.247753409758843</v>
      </c>
      <c r="B9">
        <v>0.59858382331426707</v>
      </c>
      <c r="C9">
        <v>21.451299616530196</v>
      </c>
      <c r="E9" s="2">
        <v>52</v>
      </c>
      <c r="G9" cm="1">
        <f t="array" ref="G9">INDEX(_xlfn._TRO_TRAILING(A$2:A$1048576),$E9)</f>
        <v>22.104014582358687</v>
      </c>
      <c r="H9" cm="1">
        <f t="array" ref="H9">INDEX(_xlfn._TRO_TRAILING(B$2:B$1048576),$E9)</f>
        <v>33.019930724955231</v>
      </c>
      <c r="I9" cm="1">
        <f t="array" ref="I9">INDEX(_xlfn._TRO_TRAILING(C$2:C$1048576),$E9)</f>
        <v>18.317267919750801</v>
      </c>
      <c r="K9" s="50">
        <v>130925</v>
      </c>
    </row>
    <row r="10" spans="1:22" x14ac:dyDescent="0.25">
      <c r="A10">
        <v>20.717899333551085</v>
      </c>
      <c r="B10">
        <v>2.4381174196466806</v>
      </c>
      <c r="C10">
        <v>21.306353252629712</v>
      </c>
      <c r="E10" s="2">
        <v>51</v>
      </c>
      <c r="G10" cm="1">
        <f t="array" ref="G10">INDEX(_xlfn._TRO_TRAILING(A$2:A$1048576),$E10)</f>
        <v>21.632988764152898</v>
      </c>
      <c r="H10" cm="1">
        <f t="array" ref="H10">INDEX(_xlfn._TRO_TRAILING(B$2:B$1048576),$E10)</f>
        <v>32.703363327870534</v>
      </c>
      <c r="I10" cm="1">
        <f t="array" ref="I10">INDEX(_xlfn._TRO_TRAILING(C$2:C$1048576),$E10)</f>
        <v>20.098898414394167</v>
      </c>
      <c r="K10" s="15">
        <v>130907</v>
      </c>
    </row>
    <row r="11" spans="1:22" x14ac:dyDescent="0.25">
      <c r="A11">
        <v>20.87152035477866</v>
      </c>
      <c r="B11">
        <v>2.8764098447741135</v>
      </c>
      <c r="C11">
        <v>22.886746202060998</v>
      </c>
      <c r="E11" s="2">
        <v>50</v>
      </c>
      <c r="G11" cm="1">
        <f t="array" ref="G11">INDEX(_xlfn._TRO_TRAILING(A$2:A$1048576),$E11)</f>
        <v>21.43700293748104</v>
      </c>
      <c r="H11" cm="1">
        <f t="array" ref="H11">INDEX(_xlfn._TRO_TRAILING(B$2:B$1048576),$E11)</f>
        <v>33.009514030971381</v>
      </c>
      <c r="I11" cm="1">
        <f t="array" ref="I11">INDEX(_xlfn._TRO_TRAILING(C$2:C$1048576),$E11)</f>
        <v>21.777309685461937</v>
      </c>
      <c r="K11" s="51">
        <v>130895</v>
      </c>
    </row>
    <row r="12" spans="1:22" x14ac:dyDescent="0.25">
      <c r="A12">
        <v>20.953242519246814</v>
      </c>
      <c r="B12">
        <v>2.4152321069723883</v>
      </c>
      <c r="C12">
        <v>24.723566146858246</v>
      </c>
      <c r="E12" s="2">
        <v>49</v>
      </c>
      <c r="G12" cm="1">
        <f t="array" ref="G12">INDEX(_xlfn._TRO_TRAILING(A$2:A$1048576),$E12)</f>
        <v>21.221893044479934</v>
      </c>
      <c r="H12" cm="1">
        <f t="array" ref="H12">INDEX(_xlfn._TRO_TRAILING(B$2:B$1048576),$E12)</f>
        <v>33.172868291123009</v>
      </c>
      <c r="I12" cm="1">
        <f t="array" ref="I12">INDEX(_xlfn._TRO_TRAILING(C$2:C$1048576),$E12)</f>
        <v>23.540770726735566</v>
      </c>
      <c r="K12" s="52">
        <v>130877</v>
      </c>
    </row>
    <row r="13" spans="1:22" x14ac:dyDescent="0.25">
      <c r="A13">
        <v>21.032719461005691</v>
      </c>
      <c r="B13">
        <v>2.2888603001480385</v>
      </c>
      <c r="C13">
        <v>26.593877705343473</v>
      </c>
      <c r="E13" s="2">
        <v>48</v>
      </c>
      <c r="G13" cm="1">
        <f t="array" ref="G13">INDEX(_xlfn._TRO_TRAILING(A$2:A$1048576),$E13)</f>
        <v>20.83054981877909</v>
      </c>
      <c r="H13" cm="1">
        <f t="array" ref="H13">INDEX(_xlfn._TRO_TRAILING(B$2:B$1048576),$E13)</f>
        <v>33.009164930844605</v>
      </c>
      <c r="I13" cm="1">
        <f t="array" ref="I13">INDEX(_xlfn._TRO_TRAILING(C$2:C$1048576),$E13)</f>
        <v>25.345658153082617</v>
      </c>
      <c r="K13" s="53">
        <v>130865</v>
      </c>
    </row>
    <row r="14" spans="1:22" x14ac:dyDescent="0.25">
      <c r="A14">
        <v>21.443783146281937</v>
      </c>
      <c r="B14">
        <v>2.0658487960736966</v>
      </c>
      <c r="C14">
        <v>28.45216706116004</v>
      </c>
      <c r="E14" s="2">
        <v>47</v>
      </c>
      <c r="G14" cm="1">
        <f t="array" ref="G14">INDEX(_xlfn._TRO_TRAILING(A$2:A$1048576),$E14)</f>
        <v>20.689520855524147</v>
      </c>
      <c r="H14" cm="1">
        <f t="array" ref="H14">INDEX(_xlfn._TRO_TRAILING(B$2:B$1048576),$E14)</f>
        <v>31.671674236173779</v>
      </c>
      <c r="I14" cm="1">
        <f t="array" ref="I14">INDEX(_xlfn._TRO_TRAILING(C$2:C$1048576),$E14)</f>
        <v>26.594542276977069</v>
      </c>
      <c r="K14" s="16">
        <v>130847</v>
      </c>
    </row>
    <row r="15" spans="1:22" x14ac:dyDescent="0.25">
      <c r="A15">
        <v>22.012416112600445</v>
      </c>
      <c r="B15">
        <v>2.6961320049633604</v>
      </c>
      <c r="C15">
        <v>30.057880177283472</v>
      </c>
      <c r="E15" s="2">
        <v>46</v>
      </c>
      <c r="G15" cm="1">
        <f t="array" ref="G15">INDEX(_xlfn._TRO_TRAILING(A$2:A$1048576),$E15)</f>
        <v>21.132386503529549</v>
      </c>
      <c r="H15" cm="1">
        <f t="array" ref="H15">INDEX(_xlfn._TRO_TRAILING(B$2:B$1048576),$E15)</f>
        <v>29.81195333245698</v>
      </c>
      <c r="I15" cm="1">
        <f t="array" ref="I15">INDEX(_xlfn._TRO_TRAILING(C$2:C$1048576),$E15)</f>
        <v>26.212947444118498</v>
      </c>
      <c r="K15" s="54">
        <v>130835</v>
      </c>
    </row>
    <row r="16" spans="1:22" x14ac:dyDescent="0.25">
      <c r="A16">
        <v>21.9669995231333</v>
      </c>
      <c r="B16">
        <v>4.5927911535113113</v>
      </c>
      <c r="C16">
        <v>29.644404231620452</v>
      </c>
      <c r="E16" s="2">
        <v>45</v>
      </c>
      <c r="G16" cm="1">
        <f t="array" ref="G16">INDEX(_xlfn._TRO_TRAILING(A$2:A$1048576),$E16)</f>
        <v>21.308851743899311</v>
      </c>
      <c r="H16" cm="1">
        <f t="array" ref="H16">INDEX(_xlfn._TRO_TRAILING(B$2:B$1048576),$E16)</f>
        <v>29.166658886920537</v>
      </c>
      <c r="I16" cm="1">
        <f t="array" ref="I16">INDEX(_xlfn._TRO_TRAILING(C$2:C$1048576),$E16)</f>
        <v>27.877469652013211</v>
      </c>
      <c r="K16" s="55">
        <v>130817</v>
      </c>
    </row>
    <row r="17" spans="1:11" x14ac:dyDescent="0.25">
      <c r="A17">
        <v>22.156281667465542</v>
      </c>
      <c r="B17">
        <v>5.7573099561464902</v>
      </c>
      <c r="C17">
        <v>29.95220375241863</v>
      </c>
      <c r="E17" s="2">
        <v>44</v>
      </c>
      <c r="G17" cm="1">
        <f t="array" ref="G17">INDEX(_xlfn._TRO_TRAILING(A$2:A$1048576),$E17)</f>
        <v>21.508299024556045</v>
      </c>
      <c r="H17" cm="1">
        <f t="array" ref="H17">INDEX(_xlfn._TRO_TRAILING(B$2:B$1048576),$E17)</f>
        <v>28.957065170731589</v>
      </c>
      <c r="I17" cm="1">
        <f t="array" ref="I17">INDEX(_xlfn._TRO_TRAILING(C$2:C$1048576),$E17)</f>
        <v>29.655414348039926</v>
      </c>
      <c r="K17" s="56">
        <v>917249</v>
      </c>
    </row>
    <row r="18" spans="1:11" x14ac:dyDescent="0.25">
      <c r="A18">
        <v>22.513493207502627</v>
      </c>
      <c r="B18">
        <v>5.5426804467216755</v>
      </c>
      <c r="C18">
        <v>31.771663124631313</v>
      </c>
      <c r="E18" s="2">
        <v>43</v>
      </c>
      <c r="G18" cm="1">
        <f t="array" ref="G18">INDEX(_xlfn._TRO_TRAILING(A$2:A$1048576),$E18)</f>
        <v>21.426874066466205</v>
      </c>
      <c r="H18" cm="1">
        <f t="array" ref="H18">INDEX(_xlfn._TRO_TRAILING(B$2:B$1048576),$E18)</f>
        <v>29.095776982823249</v>
      </c>
      <c r="I18" cm="1">
        <f t="array" ref="I18">INDEX(_xlfn._TRO_TRAILING(C$2:C$1048576),$E18)</f>
        <v>31.40691872498909</v>
      </c>
      <c r="K18" s="17">
        <v>2096897</v>
      </c>
    </row>
    <row r="19" spans="1:11" x14ac:dyDescent="0.25">
      <c r="A19">
        <v>22.88185309911043</v>
      </c>
      <c r="B19">
        <v>5.3383861110726079</v>
      </c>
      <c r="C19">
        <v>33.622500949684664</v>
      </c>
      <c r="E19" s="2">
        <v>42</v>
      </c>
      <c r="G19" cm="1">
        <f t="array" ref="G19">INDEX(_xlfn._TRO_TRAILING(A$2:A$1048576),$E19)</f>
        <v>21.366639952184471</v>
      </c>
      <c r="H19" cm="1">
        <f t="array" ref="H19">INDEX(_xlfn._TRO_TRAILING(B$2:B$1048576),$E19)</f>
        <v>28.983306572954454</v>
      </c>
      <c r="I19" cm="1">
        <f t="array" ref="I19">INDEX(_xlfn._TRO_TRAILING(C$2:C$1048576),$E19)</f>
        <v>33.293133085104131</v>
      </c>
      <c r="K19" s="29">
        <v>2883329</v>
      </c>
    </row>
    <row r="20" spans="1:11" x14ac:dyDescent="0.25">
      <c r="A20">
        <v>23.330603877551383</v>
      </c>
      <c r="B20">
        <v>5.5549839642138084</v>
      </c>
      <c r="C20">
        <v>35.419653496717828</v>
      </c>
      <c r="E20" s="2">
        <v>41</v>
      </c>
      <c r="G20" cm="1">
        <f t="array" ref="G20">INDEX(_xlfn._TRO_TRAILING(A$2:A$1048576),$E20)</f>
        <v>21.707423228288707</v>
      </c>
      <c r="H20" cm="1">
        <f t="array" ref="H20">INDEX(_xlfn._TRO_TRAILING(B$2:B$1048576),$E20)</f>
        <v>28.015570128907889</v>
      </c>
      <c r="I20" cm="1">
        <f t="array" ref="I20">INDEX(_xlfn._TRO_TRAILING(C$2:C$1048576),$E20)</f>
        <v>34.945149912500526</v>
      </c>
      <c r="K20" s="57">
        <v>4062977</v>
      </c>
    </row>
    <row r="21" spans="1:11" x14ac:dyDescent="0.25">
      <c r="A21">
        <v>23.7592091449776</v>
      </c>
      <c r="B21">
        <v>6.2274817200143433</v>
      </c>
      <c r="C21">
        <v>37.139965704588256</v>
      </c>
      <c r="E21" s="2">
        <v>40</v>
      </c>
      <c r="G21" cm="1">
        <f t="array" ref="G21">INDEX(_xlfn._TRO_TRAILING(A$2:A$1048576),$E21)</f>
        <v>22.261109588114827</v>
      </c>
      <c r="H21" cm="1">
        <f t="array" ref="H21">INDEX(_xlfn._TRO_TRAILING(B$2:B$1048576),$E21)</f>
        <v>26.465455704072674</v>
      </c>
      <c r="I21" cm="1">
        <f t="array" ref="I21">INDEX(_xlfn._TRO_TRAILING(C$2:C$1048576),$E21)</f>
        <v>35.335891490944988</v>
      </c>
      <c r="K21" s="58">
        <v>4849409</v>
      </c>
    </row>
    <row r="22" spans="1:11" x14ac:dyDescent="0.25">
      <c r="A22">
        <v>24.137546054258323</v>
      </c>
      <c r="B22">
        <v>7.9115093816551783</v>
      </c>
      <c r="C22">
        <v>37.277187766067136</v>
      </c>
      <c r="E22" s="2">
        <v>39</v>
      </c>
      <c r="G22" cm="1">
        <f t="array" ref="G22">INDEX(_xlfn._TRO_TRAILING(A$2:A$1048576),$E22)</f>
        <v>22.260416245328017</v>
      </c>
      <c r="H22" cm="1">
        <f t="array" ref="H22">INDEX(_xlfn._TRO_TRAILING(B$2:B$1048576),$E22)</f>
        <v>25.269959452668687</v>
      </c>
      <c r="I22" cm="1">
        <f t="array" ref="I22">INDEX(_xlfn._TRO_TRAILING(C$2:C$1048576),$E22)</f>
        <v>36.001521757842241</v>
      </c>
      <c r="K22" s="18">
        <v>6029057</v>
      </c>
    </row>
    <row r="23" spans="1:11" x14ac:dyDescent="0.25">
      <c r="A23">
        <v>24.537021062231823</v>
      </c>
      <c r="B23">
        <v>9.507766595674541</v>
      </c>
      <c r="C23">
        <v>36.283406207681949</v>
      </c>
      <c r="E23" s="2">
        <v>38</v>
      </c>
      <c r="G23" cm="1">
        <f t="array" ref="G23">INDEX(_xlfn._TRO_TRAILING(A$2:A$1048576),$E23)</f>
        <v>22.338233746134485</v>
      </c>
      <c r="H23" cm="1">
        <f t="array" ref="H23">INDEX(_xlfn._TRO_TRAILING(B$2:B$1048576),$E23)</f>
        <v>24.475606931421474</v>
      </c>
      <c r="I23" cm="1">
        <f t="array" ref="I23">INDEX(_xlfn._TRO_TRAILING(C$2:C$1048576),$E23)</f>
        <v>37.776249494987681</v>
      </c>
      <c r="K23" s="59">
        <v>6815489</v>
      </c>
    </row>
    <row r="24" spans="1:11" x14ac:dyDescent="0.25">
      <c r="A24">
        <v>24.527976327045906</v>
      </c>
      <c r="B24">
        <v>10.07033110047027</v>
      </c>
      <c r="C24">
        <v>37.768536845591314</v>
      </c>
      <c r="E24" s="2">
        <v>37</v>
      </c>
      <c r="G24" cm="1">
        <f t="array" ref="G24">INDEX(_xlfn._TRO_TRAILING(A$2:A$1048576),$E24)</f>
        <v>22.560068464047028</v>
      </c>
      <c r="H24" cm="1">
        <f t="array" ref="H24">INDEX(_xlfn._TRO_TRAILING(B$2:B$1048576),$E24)</f>
        <v>23.929804370640937</v>
      </c>
      <c r="I24" cm="1">
        <f t="array" ref="I24">INDEX(_xlfn._TRO_TRAILING(C$2:C$1048576),$E24)</f>
        <v>39.579742129083563</v>
      </c>
      <c r="K24" s="30">
        <v>7995137</v>
      </c>
    </row>
    <row r="25" spans="1:11" x14ac:dyDescent="0.25">
      <c r="A25">
        <v>24.431491683755802</v>
      </c>
      <c r="B25">
        <v>10.366821063921238</v>
      </c>
      <c r="C25">
        <v>39.695144030400044</v>
      </c>
      <c r="E25" s="2">
        <v>36</v>
      </c>
      <c r="G25" cm="1">
        <f t="array" ref="G25">INDEX(_xlfn._TRO_TRAILING(A$2:A$1048576),$E25)</f>
        <v>22.877085546911371</v>
      </c>
      <c r="H25" cm="1">
        <f t="array" ref="H25">INDEX(_xlfn._TRO_TRAILING(B$2:B$1048576),$E25)</f>
        <v>23.273358185100172</v>
      </c>
      <c r="I25" cm="1">
        <f t="array" ref="I25">INDEX(_xlfn._TRO_TRAILING(C$2:C$1048576),$E25)</f>
        <v>41.327305371845071</v>
      </c>
      <c r="K25" s="60">
        <v>8716033</v>
      </c>
    </row>
    <row r="26" spans="1:11" x14ac:dyDescent="0.25">
      <c r="A26">
        <v>24.455093359098058</v>
      </c>
      <c r="B26">
        <v>10.919588672697003</v>
      </c>
      <c r="C26">
        <v>41.476584468022338</v>
      </c>
      <c r="E26" s="2">
        <v>35</v>
      </c>
      <c r="G26" cm="1">
        <f t="array" ref="G26">INDEX(_xlfn._TRO_TRAILING(A$2:A$1048576),$E26)</f>
        <v>23.234343879444893</v>
      </c>
      <c r="H26" cm="1">
        <f t="array" ref="H26">INDEX(_xlfn._TRO_TRAILING(B$2:B$1048576),$E26)</f>
        <v>22.312022549317874</v>
      </c>
      <c r="I26" cm="1">
        <f t="array" ref="I26">INDEX(_xlfn._TRO_TRAILING(C$2:C$1048576),$E26)</f>
        <v>42.981453570212892</v>
      </c>
      <c r="K26" s="19">
        <v>9895681</v>
      </c>
    </row>
    <row r="27" spans="1:11" x14ac:dyDescent="0.25">
      <c r="A27">
        <v>24.459896726036284</v>
      </c>
      <c r="B27">
        <v>11.498271423652163</v>
      </c>
      <c r="C27">
        <v>43.340179713714008</v>
      </c>
      <c r="E27" s="2">
        <v>34</v>
      </c>
      <c r="G27" cm="1">
        <f t="array" ref="G27">INDEX(_xlfn._TRO_TRAILING(A$2:A$1048576),$E27)</f>
        <v>23.770561698596829</v>
      </c>
      <c r="H27" cm="1">
        <f t="array" ref="H27">INDEX(_xlfn._TRO_TRAILING(B$2:B$1048576),$E27)</f>
        <v>20.781194662768701</v>
      </c>
      <c r="I27" cm="1">
        <f t="array" ref="I27">INDEX(_xlfn._TRO_TRAILING(C$2:C$1048576),$E27)</f>
        <v>43.699378721613265</v>
      </c>
      <c r="K27" s="61">
        <v>10682113</v>
      </c>
    </row>
    <row r="28" spans="1:11" x14ac:dyDescent="0.25">
      <c r="A28">
        <v>24.470009363861553</v>
      </c>
      <c r="B28">
        <v>12.055224414464671</v>
      </c>
      <c r="C28">
        <v>45.213474680230775</v>
      </c>
      <c r="E28" s="2">
        <v>33</v>
      </c>
      <c r="G28" cm="1">
        <f t="array" ref="G28">INDEX(_xlfn._TRO_TRAILING(A$2:A$1048576),$E28)</f>
        <v>23.827803757812049</v>
      </c>
      <c r="H28" cm="1">
        <f t="array" ref="H28">INDEX(_xlfn._TRO_TRAILING(B$2:B$1048576),$E28)</f>
        <v>19.471988305806214</v>
      </c>
      <c r="I28" cm="1">
        <f t="array" ref="I28">INDEX(_xlfn._TRO_TRAILING(C$2:C$1048576),$E28)</f>
        <v>42.811678266629933</v>
      </c>
      <c r="K28" s="62">
        <v>11861761</v>
      </c>
    </row>
    <row r="29" spans="1:11" x14ac:dyDescent="0.25">
      <c r="A29">
        <v>24.485675123240469</v>
      </c>
      <c r="B29">
        <v>12.639401621222433</v>
      </c>
      <c r="C29">
        <v>47.083244064237419</v>
      </c>
      <c r="E29" s="2">
        <v>32</v>
      </c>
      <c r="G29" cm="1">
        <f t="array" ref="G29">INDEX(_xlfn._TRO_TRAILING(A$2:A$1048576),$E29)</f>
        <v>23.586723306680597</v>
      </c>
      <c r="H29" cm="1">
        <f t="array" ref="H29">INDEX(_xlfn._TRO_TRAILING(B$2:B$1048576),$E29)</f>
        <v>18.209293623592014</v>
      </c>
      <c r="I29" cm="1">
        <f t="array" ref="I29">INDEX(_xlfn._TRO_TRAILING(C$2:C$1048576),$E29)</f>
        <v>44.236887106445799</v>
      </c>
      <c r="K29" s="7">
        <v>12648193</v>
      </c>
    </row>
    <row r="30" spans="1:11" x14ac:dyDescent="0.25">
      <c r="A30">
        <v>24.324438684983111</v>
      </c>
      <c r="B30">
        <v>13.926574916793129</v>
      </c>
      <c r="C30">
        <v>48.130390786315715</v>
      </c>
      <c r="E30" s="2">
        <v>31</v>
      </c>
      <c r="G30" cm="1">
        <f t="array" ref="G30">INDEX(_xlfn._TRO_TRAILING(A$2:A$1048576),$E30)</f>
        <v>23.733148483215786</v>
      </c>
      <c r="H30" cm="1">
        <f t="array" ref="H30">INDEX(_xlfn._TRO_TRAILING(B$2:B$1048576),$E30)</f>
        <v>16.771468846886783</v>
      </c>
      <c r="I30" cm="1">
        <f t="array" ref="I30">INDEX(_xlfn._TRO_TRAILING(C$2:C$1048576),$E30)</f>
        <v>45.547207398197607</v>
      </c>
      <c r="K30" s="20">
        <v>13827841</v>
      </c>
    </row>
    <row r="31" spans="1:11" x14ac:dyDescent="0.25">
      <c r="A31">
        <v>23.979730086782489</v>
      </c>
      <c r="B31">
        <v>15.41163652554642</v>
      </c>
      <c r="C31">
        <v>46.928739026425646</v>
      </c>
      <c r="E31" s="2">
        <v>30</v>
      </c>
      <c r="G31" cm="1">
        <f t="array" ref="G31">INDEX(_xlfn._TRO_TRAILING(A$2:A$1048576),$E31)</f>
        <v>23.979730086782489</v>
      </c>
      <c r="H31" cm="1">
        <f t="array" ref="H31">INDEX(_xlfn._TRO_TRAILING(B$2:B$1048576),$E31)</f>
        <v>15.41163652554642</v>
      </c>
      <c r="I31" cm="1">
        <f t="array" ref="I31">INDEX(_xlfn._TRO_TRAILING(C$2:C$1048576),$E31)</f>
        <v>46.928739026425646</v>
      </c>
      <c r="K31" s="63">
        <v>14614273</v>
      </c>
    </row>
    <row r="32" spans="1:11" x14ac:dyDescent="0.25">
      <c r="A32">
        <v>23.733148483215786</v>
      </c>
      <c r="B32">
        <v>16.771468846886783</v>
      </c>
      <c r="C32">
        <v>45.547207398197607</v>
      </c>
      <c r="E32" s="2">
        <v>29</v>
      </c>
      <c r="G32" cm="1">
        <f t="array" ref="G32">INDEX(_xlfn._TRO_TRAILING(A$2:A$1048576),$E32)</f>
        <v>24.324438684983111</v>
      </c>
      <c r="H32" cm="1">
        <f t="array" ref="H32">INDEX(_xlfn._TRO_TRAILING(B$2:B$1048576),$E32)</f>
        <v>13.926574916793129</v>
      </c>
      <c r="I32" cm="1">
        <f t="array" ref="I32">INDEX(_xlfn._TRO_TRAILING(C$2:C$1048576),$E32)</f>
        <v>48.130390786315715</v>
      </c>
      <c r="K32" s="64">
        <v>15793921</v>
      </c>
    </row>
    <row r="33" spans="1:11" x14ac:dyDescent="0.25">
      <c r="A33">
        <v>23.586723306680597</v>
      </c>
      <c r="B33">
        <v>18.209293623592014</v>
      </c>
      <c r="C33">
        <v>44.236887106445799</v>
      </c>
      <c r="E33" s="2">
        <v>28</v>
      </c>
      <c r="G33" cm="1">
        <f t="array" ref="G33">INDEX(_xlfn._TRO_TRAILING(A$2:A$1048576),$E33)</f>
        <v>24.485675123240469</v>
      </c>
      <c r="H33" cm="1">
        <f t="array" ref="H33">INDEX(_xlfn._TRO_TRAILING(B$2:B$1048576),$E33)</f>
        <v>12.639401621222433</v>
      </c>
      <c r="I33" cm="1">
        <f t="array" ref="I33">INDEX(_xlfn._TRO_TRAILING(C$2:C$1048576),$E33)</f>
        <v>47.083244064237419</v>
      </c>
      <c r="K33" s="65">
        <v>16580353</v>
      </c>
    </row>
    <row r="34" spans="1:11" x14ac:dyDescent="0.25">
      <c r="A34">
        <v>23.827803757812049</v>
      </c>
      <c r="B34">
        <v>19.471988305806214</v>
      </c>
      <c r="C34">
        <v>42.811678266629933</v>
      </c>
      <c r="E34" s="2">
        <v>27</v>
      </c>
      <c r="G34" cm="1">
        <f t="array" ref="G34">INDEX(_xlfn._TRO_TRAILING(A$2:A$1048576),$E34)</f>
        <v>24.470009363861553</v>
      </c>
      <c r="H34" cm="1">
        <f t="array" ref="H34">INDEX(_xlfn._TRO_TRAILING(B$2:B$1048576),$E34)</f>
        <v>12.055224414464671</v>
      </c>
      <c r="I34" cm="1">
        <f t="array" ref="I34">INDEX(_xlfn._TRO_TRAILING(C$2:C$1048576),$E34)</f>
        <v>45.213474680230775</v>
      </c>
      <c r="K34" s="8">
        <v>16773121</v>
      </c>
    </row>
    <row r="35" spans="1:11" x14ac:dyDescent="0.25">
      <c r="A35">
        <v>23.770561698596829</v>
      </c>
      <c r="B35">
        <v>20.781194662768701</v>
      </c>
      <c r="C35">
        <v>43.699378721613265</v>
      </c>
      <c r="E35" s="2">
        <v>26</v>
      </c>
      <c r="G35" cm="1">
        <f t="array" ref="G35">INDEX(_xlfn._TRO_TRAILING(A$2:A$1048576),$E35)</f>
        <v>24.459896726036284</v>
      </c>
      <c r="H35" cm="1">
        <f t="array" ref="H35">INDEX(_xlfn._TRO_TRAILING(B$2:B$1048576),$E35)</f>
        <v>11.498271423652163</v>
      </c>
      <c r="I35" cm="1">
        <f t="array" ref="I35">INDEX(_xlfn._TRO_TRAILING(C$2:C$1048576),$E35)</f>
        <v>43.340179713714008</v>
      </c>
      <c r="K35" s="66">
        <v>16770049</v>
      </c>
    </row>
    <row r="36" spans="1:11" x14ac:dyDescent="0.25">
      <c r="A36">
        <v>23.234343879444893</v>
      </c>
      <c r="B36">
        <v>22.312022549317874</v>
      </c>
      <c r="C36">
        <v>42.981453570212892</v>
      </c>
      <c r="E36" s="2">
        <v>25</v>
      </c>
      <c r="G36" cm="1">
        <f t="array" ref="G36">INDEX(_xlfn._TRO_TRAILING(A$2:A$1048576),$E36)</f>
        <v>24.455093359098058</v>
      </c>
      <c r="H36" cm="1">
        <f t="array" ref="H36">INDEX(_xlfn._TRO_TRAILING(B$2:B$1048576),$E36)</f>
        <v>10.919588672697003</v>
      </c>
      <c r="I36" cm="1">
        <f t="array" ref="I36">INDEX(_xlfn._TRO_TRAILING(C$2:C$1048576),$E36)</f>
        <v>41.476584468022338</v>
      </c>
      <c r="K36" s="31">
        <v>16765441</v>
      </c>
    </row>
    <row r="37" spans="1:11" x14ac:dyDescent="0.25">
      <c r="A37">
        <v>22.877085546911371</v>
      </c>
      <c r="B37">
        <v>23.273358185100172</v>
      </c>
      <c r="C37">
        <v>41.327305371845071</v>
      </c>
      <c r="E37" s="2">
        <v>24</v>
      </c>
      <c r="G37" cm="1">
        <f t="array" ref="G37">INDEX(_xlfn._TRO_TRAILING(A$2:A$1048576),$E37)</f>
        <v>24.431491683755802</v>
      </c>
      <c r="H37" cm="1">
        <f t="array" ref="H37">INDEX(_xlfn._TRO_TRAILING(B$2:B$1048576),$E37)</f>
        <v>10.366821063921238</v>
      </c>
      <c r="I37" cm="1">
        <f t="array" ref="I37">INDEX(_xlfn._TRO_TRAILING(C$2:C$1048576),$E37)</f>
        <v>39.695144030400044</v>
      </c>
      <c r="K37" s="67">
        <v>16762369</v>
      </c>
    </row>
    <row r="38" spans="1:11" x14ac:dyDescent="0.25">
      <c r="A38">
        <v>22.560068464047028</v>
      </c>
      <c r="B38">
        <v>23.929804370640937</v>
      </c>
      <c r="C38">
        <v>39.579742129083563</v>
      </c>
      <c r="E38" s="2">
        <v>23</v>
      </c>
      <c r="G38" cm="1">
        <f t="array" ref="G38">INDEX(_xlfn._TRO_TRAILING(A$2:A$1048576),$E38)</f>
        <v>24.527976327045906</v>
      </c>
      <c r="H38" cm="1">
        <f t="array" ref="H38">INDEX(_xlfn._TRO_TRAILING(B$2:B$1048576),$E38)</f>
        <v>10.07033110047027</v>
      </c>
      <c r="I38" cm="1">
        <f t="array" ref="I38">INDEX(_xlfn._TRO_TRAILING(C$2:C$1048576),$E38)</f>
        <v>37.768536845591314</v>
      </c>
      <c r="K38" s="6">
        <v>16757761</v>
      </c>
    </row>
    <row r="39" spans="1:11" x14ac:dyDescent="0.25">
      <c r="A39">
        <v>22.338233746134485</v>
      </c>
      <c r="B39">
        <v>24.475606931421474</v>
      </c>
      <c r="C39">
        <v>37.776249494987681</v>
      </c>
      <c r="E39" s="2">
        <v>22</v>
      </c>
      <c r="G39" cm="1">
        <f t="array" ref="G39">INDEX(_xlfn._TRO_TRAILING(A$2:A$1048576),$E39)</f>
        <v>24.537021062231823</v>
      </c>
      <c r="H39" cm="1">
        <f t="array" ref="H39">INDEX(_xlfn._TRO_TRAILING(B$2:B$1048576),$E39)</f>
        <v>9.507766595674541</v>
      </c>
      <c r="I39" cm="1">
        <f t="array" ref="I39">INDEX(_xlfn._TRO_TRAILING(C$2:C$1048576),$E39)</f>
        <v>36.283406207681949</v>
      </c>
      <c r="K39" s="32">
        <v>16754689</v>
      </c>
    </row>
    <row r="40" spans="1:11" x14ac:dyDescent="0.25">
      <c r="A40">
        <v>22.260416245328017</v>
      </c>
      <c r="B40">
        <v>25.269959452668687</v>
      </c>
      <c r="C40">
        <v>36.001521757842241</v>
      </c>
      <c r="E40" s="2">
        <v>21</v>
      </c>
      <c r="G40" cm="1">
        <f t="array" ref="G40">INDEX(_xlfn._TRO_TRAILING(A$2:A$1048576),$E40)</f>
        <v>24.137546054258323</v>
      </c>
      <c r="H40" cm="1">
        <f t="array" ref="H40">INDEX(_xlfn._TRO_TRAILING(B$2:B$1048576),$E40)</f>
        <v>7.9115093816551783</v>
      </c>
      <c r="I40" cm="1">
        <f t="array" ref="I40">INDEX(_xlfn._TRO_TRAILING(C$2:C$1048576),$E40)</f>
        <v>37.277187766067136</v>
      </c>
      <c r="K40" s="68">
        <v>16750081</v>
      </c>
    </row>
    <row r="41" spans="1:11" x14ac:dyDescent="0.25">
      <c r="A41">
        <v>22.261109588114827</v>
      </c>
      <c r="B41">
        <v>26.465455704072674</v>
      </c>
      <c r="C41">
        <v>35.335891490944988</v>
      </c>
      <c r="E41" s="2">
        <v>20</v>
      </c>
      <c r="G41" cm="1">
        <f t="array" ref="G41">INDEX(_xlfn._TRO_TRAILING(A$2:A$1048576),$E41)</f>
        <v>23.7592091449776</v>
      </c>
      <c r="H41" cm="1">
        <f t="array" ref="H41">INDEX(_xlfn._TRO_TRAILING(B$2:B$1048576),$E41)</f>
        <v>6.2274817200143433</v>
      </c>
      <c r="I41" cm="1">
        <f t="array" ref="I41">INDEX(_xlfn._TRO_TRAILING(C$2:C$1048576),$E41)</f>
        <v>37.139965704588256</v>
      </c>
      <c r="K41" s="69">
        <v>16747009</v>
      </c>
    </row>
    <row r="42" spans="1:11" x14ac:dyDescent="0.25">
      <c r="A42">
        <v>21.707423228288707</v>
      </c>
      <c r="B42">
        <v>28.015570128907889</v>
      </c>
      <c r="C42">
        <v>34.945149912500526</v>
      </c>
      <c r="E42" s="2">
        <v>19</v>
      </c>
      <c r="G42" cm="1">
        <f t="array" ref="G42">INDEX(_xlfn._TRO_TRAILING(A$2:A$1048576),$E42)</f>
        <v>23.330603877551383</v>
      </c>
      <c r="H42" cm="1">
        <f t="array" ref="H42">INDEX(_xlfn._TRO_TRAILING(B$2:B$1048576),$E42)</f>
        <v>5.5549839642138084</v>
      </c>
      <c r="I42" cm="1">
        <f t="array" ref="I42">INDEX(_xlfn._TRO_TRAILING(C$2:C$1048576),$E42)</f>
        <v>35.419653496717828</v>
      </c>
      <c r="K42" s="21">
        <v>16742657</v>
      </c>
    </row>
    <row r="43" spans="1:11" x14ac:dyDescent="0.25">
      <c r="A43">
        <v>21.366639952184471</v>
      </c>
      <c r="B43">
        <v>28.983306572954454</v>
      </c>
      <c r="C43">
        <v>33.293133085104131</v>
      </c>
      <c r="E43" s="2">
        <v>18</v>
      </c>
      <c r="G43" cm="1">
        <f t="array" ref="G43">INDEX(_xlfn._TRO_TRAILING(A$2:A$1048576),$E43)</f>
        <v>22.88185309911043</v>
      </c>
      <c r="H43" cm="1">
        <f t="array" ref="H43">INDEX(_xlfn._TRO_TRAILING(B$2:B$1048576),$E43)</f>
        <v>5.3383861110726079</v>
      </c>
      <c r="I43" cm="1">
        <f t="array" ref="I43">INDEX(_xlfn._TRO_TRAILING(C$2:C$1048576),$E43)</f>
        <v>33.622500949684664</v>
      </c>
      <c r="K43" s="70">
        <v>16739585</v>
      </c>
    </row>
    <row r="44" spans="1:11" x14ac:dyDescent="0.25">
      <c r="A44">
        <v>21.426874066466205</v>
      </c>
      <c r="B44">
        <v>29.095776982823249</v>
      </c>
      <c r="C44">
        <v>31.40691872498909</v>
      </c>
      <c r="E44" s="2">
        <v>17</v>
      </c>
      <c r="G44" cm="1">
        <f t="array" ref="G44">INDEX(_xlfn._TRO_TRAILING(A$2:A$1048576),$E44)</f>
        <v>22.513493207502627</v>
      </c>
      <c r="H44" cm="1">
        <f t="array" ref="H44">INDEX(_xlfn._TRO_TRAILING(B$2:B$1048576),$E44)</f>
        <v>5.5426804467216755</v>
      </c>
      <c r="I44" cm="1">
        <f t="array" ref="I44">INDEX(_xlfn._TRO_TRAILING(C$2:C$1048576),$E44)</f>
        <v>31.771663124631313</v>
      </c>
      <c r="K44" s="71">
        <v>16734977</v>
      </c>
    </row>
    <row r="45" spans="1:11" x14ac:dyDescent="0.25">
      <c r="A45">
        <v>21.508299024556045</v>
      </c>
      <c r="B45">
        <v>28.957065170731589</v>
      </c>
      <c r="C45">
        <v>29.655414348039926</v>
      </c>
      <c r="E45" s="2">
        <v>16</v>
      </c>
      <c r="G45" cm="1">
        <f t="array" ref="G45">INDEX(_xlfn._TRO_TRAILING(A$2:A$1048576),$E45)</f>
        <v>22.156281667465542</v>
      </c>
      <c r="H45" cm="1">
        <f t="array" ref="H45">INDEX(_xlfn._TRO_TRAILING(B$2:B$1048576),$E45)</f>
        <v>5.7573099561464902</v>
      </c>
      <c r="I45" cm="1">
        <f t="array" ref="I45">INDEX(_xlfn._TRO_TRAILING(C$2:C$1048576),$E45)</f>
        <v>29.95220375241863</v>
      </c>
      <c r="K45" s="72">
        <v>16731905</v>
      </c>
    </row>
    <row r="46" spans="1:11" x14ac:dyDescent="0.25">
      <c r="A46">
        <v>21.308851743899311</v>
      </c>
      <c r="B46">
        <v>29.166658886920537</v>
      </c>
      <c r="C46">
        <v>27.877469652013211</v>
      </c>
      <c r="E46" s="2">
        <v>15</v>
      </c>
      <c r="G46" cm="1">
        <f t="array" ref="G46">INDEX(_xlfn._TRO_TRAILING(A$2:A$1048576),$E46)</f>
        <v>21.9669995231333</v>
      </c>
      <c r="H46" cm="1">
        <f t="array" ref="H46">INDEX(_xlfn._TRO_TRAILING(B$2:B$1048576),$E46)</f>
        <v>4.5927911535113113</v>
      </c>
      <c r="I46" cm="1">
        <f t="array" ref="I46">INDEX(_xlfn._TRO_TRAILING(C$2:C$1048576),$E46)</f>
        <v>29.644404231620452</v>
      </c>
      <c r="K46" s="22">
        <v>16727297</v>
      </c>
    </row>
    <row r="47" spans="1:11" x14ac:dyDescent="0.25">
      <c r="A47">
        <v>21.132386503529549</v>
      </c>
      <c r="B47">
        <v>29.81195333245698</v>
      </c>
      <c r="C47">
        <v>26.212947444118498</v>
      </c>
      <c r="E47" s="2">
        <v>14</v>
      </c>
      <c r="G47" cm="1">
        <f t="array" ref="G47">INDEX(_xlfn._TRO_TRAILING(A$2:A$1048576),$E47)</f>
        <v>22.012416112600445</v>
      </c>
      <c r="H47" cm="1">
        <f t="array" ref="H47">INDEX(_xlfn._TRO_TRAILING(B$2:B$1048576),$E47)</f>
        <v>2.6961320049633604</v>
      </c>
      <c r="I47" cm="1">
        <f t="array" ref="I47">INDEX(_xlfn._TRO_TRAILING(C$2:C$1048576),$E47)</f>
        <v>30.057880177283472</v>
      </c>
      <c r="K47" s="73">
        <v>16724225</v>
      </c>
    </row>
    <row r="48" spans="1:11" x14ac:dyDescent="0.25">
      <c r="A48">
        <v>20.689520855524147</v>
      </c>
      <c r="B48">
        <v>31.671674236173779</v>
      </c>
      <c r="C48">
        <v>26.594542276977069</v>
      </c>
      <c r="E48" s="2">
        <v>13</v>
      </c>
      <c r="G48" cm="1">
        <f t="array" ref="G48">INDEX(_xlfn._TRO_TRAILING(A$2:A$1048576),$E48)</f>
        <v>21.443783146281937</v>
      </c>
      <c r="H48" cm="1">
        <f t="array" ref="H48">INDEX(_xlfn._TRO_TRAILING(B$2:B$1048576),$E48)</f>
        <v>2.0658487960736966</v>
      </c>
      <c r="I48" cm="1">
        <f t="array" ref="I48">INDEX(_xlfn._TRO_TRAILING(C$2:C$1048576),$E48)</f>
        <v>28.45216706116004</v>
      </c>
      <c r="K48" s="74">
        <v>16719617</v>
      </c>
    </row>
    <row r="49" spans="1:11" x14ac:dyDescent="0.25">
      <c r="A49">
        <v>20.83054981877909</v>
      </c>
      <c r="B49">
        <v>33.009164930844605</v>
      </c>
      <c r="C49">
        <v>25.345658153082617</v>
      </c>
      <c r="E49" s="2">
        <v>12</v>
      </c>
      <c r="G49" cm="1">
        <f t="array" ref="G49">INDEX(_xlfn._TRO_TRAILING(A$2:A$1048576),$E49)</f>
        <v>21.032719461005691</v>
      </c>
      <c r="H49" cm="1">
        <f t="array" ref="H49">INDEX(_xlfn._TRO_TRAILING(B$2:B$1048576),$E49)</f>
        <v>2.2888603001480385</v>
      </c>
      <c r="I49" cm="1">
        <f t="array" ref="I49">INDEX(_xlfn._TRO_TRAILING(C$2:C$1048576),$E49)</f>
        <v>26.593877705343473</v>
      </c>
      <c r="K49" s="75">
        <v>16716545</v>
      </c>
    </row>
    <row r="50" spans="1:11" x14ac:dyDescent="0.25">
      <c r="A50">
        <v>21.221893044479934</v>
      </c>
      <c r="B50">
        <v>33.172868291123009</v>
      </c>
      <c r="C50">
        <v>23.540770726735566</v>
      </c>
      <c r="E50" s="2">
        <v>11</v>
      </c>
      <c r="G50" cm="1">
        <f t="array" ref="G50">INDEX(_xlfn._TRO_TRAILING(A$2:A$1048576),$E50)</f>
        <v>20.953242519246814</v>
      </c>
      <c r="H50" cm="1">
        <f t="array" ref="H50">INDEX(_xlfn._TRO_TRAILING(B$2:B$1048576),$E50)</f>
        <v>2.4152321069723883</v>
      </c>
      <c r="I50" cm="1">
        <f t="array" ref="I50">INDEX(_xlfn._TRO_TRAILING(C$2:C$1048576),$E50)</f>
        <v>24.723566146858246</v>
      </c>
      <c r="K50" s="23">
        <v>16711937</v>
      </c>
    </row>
    <row r="51" spans="1:11" x14ac:dyDescent="0.25">
      <c r="A51">
        <v>21.43700293748104</v>
      </c>
      <c r="B51">
        <v>33.009514030971381</v>
      </c>
      <c r="C51">
        <v>21.777309685461937</v>
      </c>
      <c r="E51" s="2">
        <v>10</v>
      </c>
      <c r="G51" cm="1">
        <f t="array" ref="G51">INDEX(_xlfn._TRO_TRAILING(A$2:A$1048576),$E51)</f>
        <v>20.87152035477866</v>
      </c>
      <c r="H51" cm="1">
        <f t="array" ref="H51">INDEX(_xlfn._TRO_TRAILING(B$2:B$1048576),$E51)</f>
        <v>2.8764098447741135</v>
      </c>
      <c r="I51" cm="1">
        <f t="array" ref="I51">INDEX(_xlfn._TRO_TRAILING(C$2:C$1048576),$E51)</f>
        <v>22.886746202060998</v>
      </c>
      <c r="K51" s="33">
        <v>16711949</v>
      </c>
    </row>
    <row r="52" spans="1:11" x14ac:dyDescent="0.25">
      <c r="A52">
        <v>21.632988764152898</v>
      </c>
      <c r="B52">
        <v>32.703363327870534</v>
      </c>
      <c r="C52">
        <v>20.098898414394167</v>
      </c>
      <c r="E52" s="2">
        <v>9</v>
      </c>
      <c r="G52" cm="1">
        <f t="array" ref="G52">INDEX(_xlfn._TRO_TRAILING(A$2:A$1048576),$E52)</f>
        <v>20.717899333551085</v>
      </c>
      <c r="H52" cm="1">
        <f t="array" ref="H52">INDEX(_xlfn._TRO_TRAILING(B$2:B$1048576),$E52)</f>
        <v>2.4381174196466806</v>
      </c>
      <c r="I52" cm="1">
        <f t="array" ref="I52">INDEX(_xlfn._TRO_TRAILING(C$2:C$1048576),$E52)</f>
        <v>21.306353252629712</v>
      </c>
      <c r="K52" s="76">
        <v>16711967</v>
      </c>
    </row>
    <row r="53" spans="1:11" x14ac:dyDescent="0.25">
      <c r="A53">
        <v>22.104014582358687</v>
      </c>
      <c r="B53">
        <v>33.019930724955231</v>
      </c>
      <c r="C53">
        <v>18.317267919750801</v>
      </c>
      <c r="E53" s="2">
        <v>8</v>
      </c>
      <c r="G53" cm="1">
        <f t="array" ref="G53">INDEX(_xlfn._TRO_TRAILING(A$2:A$1048576),$E53)</f>
        <v>21.247753409758843</v>
      </c>
      <c r="H53" cm="1">
        <f t="array" ref="H53">INDEX(_xlfn._TRO_TRAILING(B$2:B$1048576),$E53)</f>
        <v>0.59858382331426707</v>
      </c>
      <c r="I53" cm="1">
        <f t="array" ref="I53">INDEX(_xlfn._TRO_TRAILING(C$2:C$1048576),$E53)</f>
        <v>21.451299616530196</v>
      </c>
      <c r="K53" s="77">
        <v>16711979</v>
      </c>
    </row>
    <row r="54" spans="1:11" x14ac:dyDescent="0.25">
      <c r="A54">
        <v>22.169197546790961</v>
      </c>
      <c r="B54">
        <v>33.378611341479697</v>
      </c>
      <c r="C54">
        <v>16.945582828708918</v>
      </c>
      <c r="E54" s="2">
        <v>7</v>
      </c>
      <c r="G54" cm="1">
        <f t="array" ref="G54">INDEX(_xlfn._TRO_TRAILING(A$2:A$1048576),$E54)</f>
        <v>21.227797044109252</v>
      </c>
      <c r="H54" cm="1">
        <f t="array" ref="H54">INDEX(_xlfn._TRO_TRAILING(B$2:B$1048576),$E54)</f>
        <v>-0.28505860706214498</v>
      </c>
      <c r="I54" cm="1">
        <f t="array" ref="I54">INDEX(_xlfn._TRO_TRAILING(C$2:C$1048576),$E54)</f>
        <v>20.181016219553182</v>
      </c>
      <c r="K54" s="24">
        <v>16711997</v>
      </c>
    </row>
    <row r="55" spans="1:11" x14ac:dyDescent="0.25">
      <c r="A55">
        <v>22.292674648434559</v>
      </c>
      <c r="B55">
        <v>35.084950943240329</v>
      </c>
      <c r="C55">
        <v>17.883265076945321</v>
      </c>
      <c r="E55" s="2">
        <v>6</v>
      </c>
      <c r="G55" cm="1">
        <f t="array" ref="G55">INDEX(_xlfn._TRO_TRAILING(A$2:A$1048576),$E55)</f>
        <v>21.306296675203484</v>
      </c>
      <c r="H55" cm="1">
        <f t="array" ref="H55">INDEX(_xlfn._TRO_TRAILING(B$2:B$1048576),$E55)</f>
        <v>0.16014042678031171</v>
      </c>
      <c r="I55" cm="1">
        <f t="array" ref="I55">INDEX(_xlfn._TRO_TRAILING(C$2:C$1048576),$E55)</f>
        <v>18.286664782775802</v>
      </c>
      <c r="K55" s="78">
        <v>16712009</v>
      </c>
    </row>
    <row r="56" spans="1:11" x14ac:dyDescent="0.25">
      <c r="A56">
        <v>23.338956005922093</v>
      </c>
      <c r="B56">
        <v>36.035257700619155</v>
      </c>
      <c r="C56">
        <v>16.994504836384529</v>
      </c>
      <c r="E56" s="2">
        <v>5</v>
      </c>
      <c r="G56" cm="1">
        <f t="array" ref="G56">INDEX(_xlfn._TRO_TRAILING(A$2:A$1048576),$E56)</f>
        <v>21.365552349383794</v>
      </c>
      <c r="H56" cm="1">
        <f t="array" ref="H56">INDEX(_xlfn._TRO_TRAILING(B$2:B$1048576),$E56)</f>
        <v>0.62730645024697362</v>
      </c>
      <c r="I56" cm="1">
        <f t="array" ref="I56">INDEX(_xlfn._TRO_TRAILING(C$2:C$1048576),$E56)</f>
        <v>16.493219574680214</v>
      </c>
      <c r="K56" s="34">
        <v>16712027</v>
      </c>
    </row>
    <row r="57" spans="1:11" x14ac:dyDescent="0.25">
      <c r="A57">
        <v>24.115061543554543</v>
      </c>
      <c r="B57">
        <v>35.842902262971393</v>
      </c>
      <c r="C57">
        <v>15.30656950633667</v>
      </c>
      <c r="E57" s="2">
        <v>4</v>
      </c>
      <c r="G57" cm="1">
        <f t="array" ref="G57">INDEX(_xlfn._TRO_TRAILING(A$2:A$1048576),$E57)</f>
        <v>21.489923790194066</v>
      </c>
      <c r="H57" cm="1">
        <f t="array" ref="H57">INDEX(_xlfn._TRO_TRAILING(B$2:B$1048576),$E57)</f>
        <v>0.97797817764509531</v>
      </c>
      <c r="I57" cm="1">
        <f t="array" ref="I57">INDEX(_xlfn._TRO_TRAILING(C$2:C$1048576),$E57)</f>
        <v>14.77949539709789</v>
      </c>
      <c r="K57" s="79">
        <v>16712039</v>
      </c>
    </row>
    <row r="58" spans="1:11" x14ac:dyDescent="0.25">
      <c r="A58">
        <v>24.755659040425844</v>
      </c>
      <c r="B58">
        <v>35.455259005363949</v>
      </c>
      <c r="C58">
        <v>13.717102357227432</v>
      </c>
      <c r="E58" s="2">
        <v>3</v>
      </c>
      <c r="G58" cm="1">
        <f t="array" ref="G58">INDEX(_xlfn._TRO_TRAILING(A$2:A$1048576),$E58)</f>
        <v>21.365248985762349</v>
      </c>
      <c r="H58" cm="1">
        <f t="array" ref="H58">INDEX(_xlfn._TRO_TRAILING(B$2:B$1048576),$E58)</f>
        <v>-0.22407835097434539</v>
      </c>
      <c r="I58" cm="1">
        <f t="array" ref="I58">INDEX(_xlfn._TRO_TRAILING(C$2:C$1048576),$E58)</f>
        <v>13.702808877601662</v>
      </c>
      <c r="K58" s="25">
        <v>16712057</v>
      </c>
    </row>
    <row r="59" spans="1:11" x14ac:dyDescent="0.25">
      <c r="A59">
        <v>24.520280818927532</v>
      </c>
      <c r="B59">
        <v>35.769831138590391</v>
      </c>
      <c r="C59">
        <v>11.955278045502313</v>
      </c>
      <c r="E59" s="2">
        <v>2</v>
      </c>
      <c r="G59" cm="1">
        <f t="array" ref="G59">INDEX(_xlfn._TRO_TRAILING(A$2:A$1048576),$E59)</f>
        <v>21.371526454211839</v>
      </c>
      <c r="H59" cm="1">
        <f t="array" ref="H59">INDEX(_xlfn._TRO_TRAILING(B$2:B$1048576),$E59)</f>
        <v>0.37386210053711921</v>
      </c>
      <c r="I59" cm="1">
        <f t="array" ref="I59">INDEX(_xlfn._TRO_TRAILING(C$2:C$1048576),$E59)</f>
        <v>11.981317988965676</v>
      </c>
      <c r="K59" s="80">
        <v>16712068</v>
      </c>
    </row>
    <row r="60" spans="1:11" x14ac:dyDescent="0.25">
      <c r="A60">
        <v>24.622679963595701</v>
      </c>
      <c r="B60">
        <v>36.066009846335994</v>
      </c>
      <c r="C60">
        <v>10.185391954155202</v>
      </c>
      <c r="E60" s="2">
        <v>1</v>
      </c>
      <c r="G60" cm="1">
        <f t="array" ref="G60">INDEX(_xlfn._TRO_TRAILING(A$2:A$1048576),$E60)</f>
        <v>21.353885388571918</v>
      </c>
      <c r="H60" cm="1">
        <f t="array" ref="H60">INDEX(_xlfn._TRO_TRAILING(B$2:B$1048576),$E60)</f>
        <v>1.1489184395648879</v>
      </c>
      <c r="I60" cm="1">
        <f t="array" ref="I60">INDEX(_xlfn._TRO_TRAILING(C$2:C$1048576),$E60)</f>
        <v>10.245592776874039</v>
      </c>
      <c r="K60" s="81">
        <v>16712086</v>
      </c>
    </row>
  </sheetData>
  <sortState xmlns:xlrd2="http://schemas.microsoft.com/office/spreadsheetml/2017/richdata2" ref="E2:E60">
    <sortCondition descending="1" ref="E2:E60"/>
  </sortState>
  <dataConsolidate/>
  <conditionalFormatting sqref="E1:E1048576">
    <cfRule type="duplicateValues" dxfId="9" priority="1"/>
  </conditionalFormatting>
  <pageMargins left="0.7" right="0.7" top="0.75" bottom="0.75" header="0.3" footer="0.3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2049" r:id="rId3" name="Button 1">
              <controlPr defaultSize="0" print="0" autoFill="0" autoPict="0" macro="[0]!btnLoad_Arch">
                <anchor moveWithCells="1" sizeWithCells="1">
                  <from>
                    <xdr:col>2</xdr:col>
                    <xdr:colOff>571500</xdr:colOff>
                    <xdr:row>0</xdr:row>
                    <xdr:rowOff>0</xdr:rowOff>
                  </from>
                  <to>
                    <xdr:col>3</xdr:col>
                    <xdr:colOff>571500</xdr:colOff>
                    <xdr:row>1</xdr:row>
                    <xdr:rowOff>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F3502FF-059F-4AAF-84BC-F711A2D906D7}">
  <sheetPr codeName="Sheet3"/>
  <dimension ref="A1:V80"/>
  <sheetViews>
    <sheetView workbookViewId="0">
      <selection activeCell="V13" sqref="V13"/>
    </sheetView>
  </sheetViews>
  <sheetFormatPr defaultRowHeight="15" x14ac:dyDescent="0.25"/>
  <cols>
    <col min="4" max="4" width="2.28515625" customWidth="1"/>
    <col min="5" max="5" width="3.5703125" bestFit="1" customWidth="1"/>
  </cols>
  <sheetData>
    <row r="1" spans="1:22" x14ac:dyDescent="0.25">
      <c r="A1" s="1" t="s">
        <v>0</v>
      </c>
      <c r="B1" s="1" t="s">
        <v>1</v>
      </c>
      <c r="C1" s="1" t="s">
        <v>2</v>
      </c>
      <c r="D1" s="1"/>
      <c r="L1" s="84" t="str" cm="1">
        <f t="array" ref="L1">FileNameMatch(Base!vbaFileName,Arch!vbaFileName)</f>
        <v>Prosqualodon_harwoodi_NMVP5532_base20points_unsorted</v>
      </c>
      <c r="M1" s="84"/>
      <c r="N1" s="84"/>
      <c r="O1" s="84"/>
      <c r="P1" s="84"/>
      <c r="Q1" s="84"/>
      <c r="R1" s="84"/>
      <c r="S1" s="84"/>
      <c r="T1" s="84"/>
      <c r="U1" s="84"/>
      <c r="V1" s="84"/>
    </row>
    <row r="2" spans="1:22" x14ac:dyDescent="0.25">
      <c r="A2" cm="1">
        <f t="array" ref="A2:C80">_xlfn.VSTACK(GraphData_Base,GraphData_Arch)</f>
        <v>19.988536834716797</v>
      </c>
      <c r="B2">
        <v>34.088539123535156</v>
      </c>
      <c r="C2">
        <v>8.526209831237793</v>
      </c>
      <c r="E2" s="82">
        <v>0</v>
      </c>
      <c r="F2" s="3" cm="1">
        <f t="array" ref="F2">HSLtoRGB(E2,255,128)</f>
        <v>66047</v>
      </c>
    </row>
    <row r="3" spans="1:22" x14ac:dyDescent="0.25">
      <c r="A3">
        <v>17.447378798191611</v>
      </c>
      <c r="B3">
        <v>31.851467794587027</v>
      </c>
      <c r="C3">
        <v>7.7378903974518671</v>
      </c>
      <c r="E3" s="82">
        <v>2</v>
      </c>
      <c r="F3" s="35" cm="1">
        <f t="array" ref="F3">HSLtoRGB(E3,255,128)</f>
        <v>69119</v>
      </c>
    </row>
    <row r="4" spans="1:22" x14ac:dyDescent="0.25">
      <c r="A4">
        <v>15.620215698107327</v>
      </c>
      <c r="B4">
        <v>28.467178932877331</v>
      </c>
      <c r="C4">
        <v>8.6495438438248442</v>
      </c>
      <c r="E4" s="82">
        <v>5</v>
      </c>
      <c r="F4" s="36" cm="1">
        <f t="array" ref="F4">HSLtoRGB(E4,255,128)</f>
        <v>73727</v>
      </c>
    </row>
    <row r="5" spans="1:22" x14ac:dyDescent="0.25">
      <c r="A5">
        <v>14.785112240309878</v>
      </c>
      <c r="B5">
        <v>24.24344574432326</v>
      </c>
      <c r="C5">
        <v>9.21030866933285</v>
      </c>
      <c r="E5" s="82">
        <v>7</v>
      </c>
      <c r="F5" s="37" cm="1">
        <f t="array" ref="F5">HSLtoRGB(E5,255,128)</f>
        <v>76799</v>
      </c>
    </row>
    <row r="6" spans="1:22" x14ac:dyDescent="0.25">
      <c r="A6">
        <v>15.389990992717337</v>
      </c>
      <c r="B6">
        <v>20.339242902651513</v>
      </c>
      <c r="C6">
        <v>10.314599169737038</v>
      </c>
      <c r="E6" s="82">
        <v>10</v>
      </c>
      <c r="F6" s="9" cm="1">
        <f t="array" ref="F6">HSLtoRGB(E6,255,128)</f>
        <v>81407</v>
      </c>
    </row>
    <row r="7" spans="1:22" x14ac:dyDescent="0.25">
      <c r="A7">
        <v>15.226098545388934</v>
      </c>
      <c r="B7">
        <v>16.984474528309125</v>
      </c>
      <c r="C7">
        <v>11.153500658026353</v>
      </c>
      <c r="E7" s="82">
        <v>12</v>
      </c>
      <c r="F7" s="4" cm="1">
        <f t="array" ref="F7">HSLtoRGB(E7,255,128)</f>
        <v>84479</v>
      </c>
    </row>
    <row r="8" spans="1:22" x14ac:dyDescent="0.25">
      <c r="A8">
        <v>14.589895416464751</v>
      </c>
      <c r="B8">
        <v>13.747956596199705</v>
      </c>
      <c r="C8">
        <v>9.9378186291302875</v>
      </c>
      <c r="E8" s="82">
        <v>15</v>
      </c>
      <c r="F8" s="38" cm="1">
        <f t="array" ref="F8">HSLtoRGB(E8,255,128)</f>
        <v>89087</v>
      </c>
    </row>
    <row r="9" spans="1:22" x14ac:dyDescent="0.25">
      <c r="A9">
        <v>14.74495500503205</v>
      </c>
      <c r="B9">
        <v>10.308883520962301</v>
      </c>
      <c r="C9">
        <v>9.1086367813538658</v>
      </c>
      <c r="E9" s="82">
        <v>17</v>
      </c>
      <c r="F9" s="39" cm="1">
        <f t="array" ref="F9">HSLtoRGB(E9,255,128)</f>
        <v>92159</v>
      </c>
    </row>
    <row r="10" spans="1:22" x14ac:dyDescent="0.25">
      <c r="A10">
        <v>15.954898710465152</v>
      </c>
      <c r="B10">
        <v>6.5361504225058846</v>
      </c>
      <c r="C10">
        <v>7.8809415270234533</v>
      </c>
      <c r="E10" s="82">
        <v>20</v>
      </c>
      <c r="F10" s="10" cm="1">
        <f t="array" ref="F10">HSLtoRGB(E10,255,128)</f>
        <v>96767</v>
      </c>
    </row>
    <row r="11" spans="1:22" x14ac:dyDescent="0.25">
      <c r="A11">
        <v>17.990780575023816</v>
      </c>
      <c r="B11">
        <v>3.5410873638604485</v>
      </c>
      <c r="C11">
        <v>7.2252750852123473</v>
      </c>
      <c r="E11" s="82">
        <v>22</v>
      </c>
      <c r="F11" s="40" cm="1">
        <f t="array" ref="F11">HSLtoRGB(E11,255,128)</f>
        <v>99583</v>
      </c>
    </row>
    <row r="12" spans="1:22" x14ac:dyDescent="0.25">
      <c r="A12">
        <v>21.409704208374023</v>
      </c>
      <c r="B12">
        <v>1.5707168579101563</v>
      </c>
      <c r="C12">
        <v>8.3503875732421875</v>
      </c>
      <c r="E12" s="82">
        <v>25</v>
      </c>
      <c r="F12" s="5" cm="1">
        <f t="array" ref="F12">HSLtoRGB(E12,255,128)</f>
        <v>104191</v>
      </c>
    </row>
    <row r="13" spans="1:22" x14ac:dyDescent="0.25">
      <c r="A13">
        <v>26.960432848167457</v>
      </c>
      <c r="B13">
        <v>2.3255512058347465</v>
      </c>
      <c r="C13">
        <v>9.2665027375444762</v>
      </c>
      <c r="E13" s="82">
        <v>27</v>
      </c>
      <c r="F13" s="41" cm="1">
        <f t="array" ref="F13">HSLtoRGB(E13,255,128)</f>
        <v>107263</v>
      </c>
    </row>
    <row r="14" spans="1:22" x14ac:dyDescent="0.25">
      <c r="A14">
        <v>31.575491836744039</v>
      </c>
      <c r="B14">
        <v>5.6972256201529046</v>
      </c>
      <c r="C14">
        <v>8.3223110361798014</v>
      </c>
      <c r="E14" s="82">
        <v>30</v>
      </c>
      <c r="F14" s="11" cm="1">
        <f t="array" ref="F14">HSLtoRGB(E14,255,128)</f>
        <v>111871</v>
      </c>
    </row>
    <row r="15" spans="1:22" x14ac:dyDescent="0.25">
      <c r="A15">
        <v>34.148806594067821</v>
      </c>
      <c r="B15">
        <v>10.133953021715399</v>
      </c>
      <c r="C15">
        <v>5.6309749641018811</v>
      </c>
      <c r="E15" s="82">
        <v>32</v>
      </c>
      <c r="F15" s="42" cm="1">
        <f t="array" ref="F15">HSLtoRGB(E15,255,128)</f>
        <v>114943</v>
      </c>
    </row>
    <row r="16" spans="1:22" x14ac:dyDescent="0.25">
      <c r="A16">
        <v>34.300026529564398</v>
      </c>
      <c r="B16">
        <v>15.344019948801691</v>
      </c>
      <c r="C16">
        <v>7.2146699669787111</v>
      </c>
      <c r="E16" s="82">
        <v>35</v>
      </c>
      <c r="F16" s="43" cm="1">
        <f t="array" ref="F16">HSLtoRGB(E16,255,128)</f>
        <v>119551</v>
      </c>
    </row>
    <row r="17" spans="1:6" x14ac:dyDescent="0.25">
      <c r="A17">
        <v>35.175398321336885</v>
      </c>
      <c r="B17">
        <v>20.225982075776543</v>
      </c>
      <c r="C17">
        <v>8.7702641455289445</v>
      </c>
      <c r="E17" s="82">
        <v>37</v>
      </c>
      <c r="F17" s="26" cm="1">
        <f t="array" ref="F17">HSLtoRGB(E17,255,128)</f>
        <v>122623</v>
      </c>
    </row>
    <row r="18" spans="1:6" x14ac:dyDescent="0.25">
      <c r="A18">
        <v>34.046503478516627</v>
      </c>
      <c r="B18">
        <v>25.072938550499821</v>
      </c>
      <c r="C18">
        <v>10.391627065539124</v>
      </c>
      <c r="E18" s="82">
        <v>40</v>
      </c>
      <c r="F18" s="12" cm="1">
        <f t="array" ref="F18">HSLtoRGB(E18,255,128)</f>
        <v>127231</v>
      </c>
    </row>
    <row r="19" spans="1:6" x14ac:dyDescent="0.25">
      <c r="A19">
        <v>32.856148584398156</v>
      </c>
      <c r="B19">
        <v>29.845343476201815</v>
      </c>
      <c r="C19">
        <v>10.022898827638143</v>
      </c>
      <c r="E19" s="82">
        <v>42</v>
      </c>
      <c r="F19" s="44" cm="1">
        <f t="array" ref="F19">HSLtoRGB(E19,255,128)</f>
        <v>130303</v>
      </c>
    </row>
    <row r="20" spans="1:6" x14ac:dyDescent="0.25">
      <c r="A20">
        <v>28.973149472029213</v>
      </c>
      <c r="B20">
        <v>33.398653118411595</v>
      </c>
      <c r="C20">
        <v>8.6846130035911049</v>
      </c>
      <c r="E20" s="82">
        <v>45</v>
      </c>
      <c r="F20" s="45" cm="1">
        <f t="array" ref="F20">HSLtoRGB(E20,255,128)</f>
        <v>131056</v>
      </c>
    </row>
    <row r="21" spans="1:6" x14ac:dyDescent="0.25">
      <c r="A21">
        <v>24.542546792087542</v>
      </c>
      <c r="B21">
        <v>35.474393995158721</v>
      </c>
      <c r="C21">
        <v>8.3837897434089044</v>
      </c>
      <c r="E21" s="82">
        <v>47</v>
      </c>
      <c r="F21" s="46" cm="1">
        <f t="array" ref="F21">HSLtoRGB(E21,255,128)</f>
        <v>131044</v>
      </c>
    </row>
    <row r="22" spans="1:6" x14ac:dyDescent="0.25">
      <c r="A22">
        <v>24.622679963595701</v>
      </c>
      <c r="B22">
        <v>36.066009846335994</v>
      </c>
      <c r="C22">
        <v>10.185391954155202</v>
      </c>
      <c r="E22" s="82">
        <v>50</v>
      </c>
      <c r="F22" s="13" cm="1">
        <f t="array" ref="F22">HSLtoRGB(E22,255,128)</f>
        <v>131026</v>
      </c>
    </row>
    <row r="23" spans="1:6" x14ac:dyDescent="0.25">
      <c r="A23">
        <v>24.520280818927532</v>
      </c>
      <c r="B23">
        <v>35.769831138590391</v>
      </c>
      <c r="C23">
        <v>11.955278045502313</v>
      </c>
      <c r="E23" s="82">
        <v>52</v>
      </c>
      <c r="F23" s="47" cm="1">
        <f t="array" ref="F23">HSLtoRGB(E23,255,128)</f>
        <v>131014</v>
      </c>
    </row>
    <row r="24" spans="1:6" x14ac:dyDescent="0.25">
      <c r="A24">
        <v>24.755659040425844</v>
      </c>
      <c r="B24">
        <v>35.455259005363949</v>
      </c>
      <c r="C24">
        <v>13.717102357227432</v>
      </c>
      <c r="E24" s="82">
        <v>55</v>
      </c>
      <c r="F24" s="27" cm="1">
        <f t="array" ref="F24">HSLtoRGB(E24,255,128)</f>
        <v>130996</v>
      </c>
    </row>
    <row r="25" spans="1:6" x14ac:dyDescent="0.25">
      <c r="A25">
        <v>24.115061543554543</v>
      </c>
      <c r="B25">
        <v>35.842902262971393</v>
      </c>
      <c r="C25">
        <v>15.30656950633667</v>
      </c>
      <c r="E25" s="82">
        <v>57</v>
      </c>
      <c r="F25" s="48" cm="1">
        <f t="array" ref="F25">HSLtoRGB(E25,255,128)</f>
        <v>130984</v>
      </c>
    </row>
    <row r="26" spans="1:6" x14ac:dyDescent="0.25">
      <c r="A26">
        <v>23.338956005922093</v>
      </c>
      <c r="B26">
        <v>36.035257700619155</v>
      </c>
      <c r="C26">
        <v>16.994504836384529</v>
      </c>
      <c r="E26" s="82">
        <v>60</v>
      </c>
      <c r="F26" s="14" cm="1">
        <f t="array" ref="F26">HSLtoRGB(E26,255,128)</f>
        <v>130966</v>
      </c>
    </row>
    <row r="27" spans="1:6" x14ac:dyDescent="0.25">
      <c r="A27">
        <v>22.292674648434559</v>
      </c>
      <c r="B27">
        <v>35.084950943240329</v>
      </c>
      <c r="C27">
        <v>17.883265076945321</v>
      </c>
      <c r="E27" s="82">
        <v>62</v>
      </c>
      <c r="F27" s="28" cm="1">
        <f t="array" ref="F27">HSLtoRGB(E27,255,128)</f>
        <v>130954</v>
      </c>
    </row>
    <row r="28" spans="1:6" x14ac:dyDescent="0.25">
      <c r="A28">
        <v>22.169197546790961</v>
      </c>
      <c r="B28">
        <v>33.378611341479697</v>
      </c>
      <c r="C28">
        <v>16.945582828708918</v>
      </c>
      <c r="E28" s="82">
        <v>65</v>
      </c>
      <c r="F28" s="49" cm="1">
        <f t="array" ref="F28">HSLtoRGB(E28,255,128)</f>
        <v>130937</v>
      </c>
    </row>
    <row r="29" spans="1:6" x14ac:dyDescent="0.25">
      <c r="A29">
        <v>22.104014582358687</v>
      </c>
      <c r="B29">
        <v>33.019930724955231</v>
      </c>
      <c r="C29">
        <v>18.317267919750801</v>
      </c>
      <c r="E29" s="82">
        <v>67</v>
      </c>
      <c r="F29" s="50" cm="1">
        <f t="array" ref="F29">HSLtoRGB(E29,255,128)</f>
        <v>130925</v>
      </c>
    </row>
    <row r="30" spans="1:6" x14ac:dyDescent="0.25">
      <c r="A30">
        <v>21.632988764152898</v>
      </c>
      <c r="B30">
        <v>32.703363327870534</v>
      </c>
      <c r="C30">
        <v>20.098898414394167</v>
      </c>
      <c r="E30" s="82">
        <v>70</v>
      </c>
      <c r="F30" s="15" cm="1">
        <f t="array" ref="F30">HSLtoRGB(E30,255,128)</f>
        <v>130907</v>
      </c>
    </row>
    <row r="31" spans="1:6" x14ac:dyDescent="0.25">
      <c r="A31">
        <v>21.43700293748104</v>
      </c>
      <c r="B31">
        <v>33.009514030971381</v>
      </c>
      <c r="C31">
        <v>21.777309685461937</v>
      </c>
      <c r="E31" s="82">
        <v>72</v>
      </c>
      <c r="F31" s="51" cm="1">
        <f t="array" ref="F31">HSLtoRGB(E31,255,128)</f>
        <v>130895</v>
      </c>
    </row>
    <row r="32" spans="1:6" x14ac:dyDescent="0.25">
      <c r="A32">
        <v>21.221893044479934</v>
      </c>
      <c r="B32">
        <v>33.172868291123009</v>
      </c>
      <c r="C32">
        <v>23.540770726735566</v>
      </c>
      <c r="E32" s="82">
        <v>75</v>
      </c>
      <c r="F32" s="52" cm="1">
        <f t="array" ref="F32">HSLtoRGB(E32,255,128)</f>
        <v>130877</v>
      </c>
    </row>
    <row r="33" spans="1:6" x14ac:dyDescent="0.25">
      <c r="A33">
        <v>20.83054981877909</v>
      </c>
      <c r="B33">
        <v>33.009164930844605</v>
      </c>
      <c r="C33">
        <v>25.345658153082617</v>
      </c>
      <c r="E33" s="82">
        <v>77</v>
      </c>
      <c r="F33" s="53" cm="1">
        <f t="array" ref="F33">HSLtoRGB(E33,255,128)</f>
        <v>130865</v>
      </c>
    </row>
    <row r="34" spans="1:6" x14ac:dyDescent="0.25">
      <c r="A34">
        <v>20.689520855524147</v>
      </c>
      <c r="B34">
        <v>31.671674236173779</v>
      </c>
      <c r="C34">
        <v>26.594542276977069</v>
      </c>
      <c r="E34" s="82">
        <v>80</v>
      </c>
      <c r="F34" s="16" cm="1">
        <f t="array" ref="F34">HSLtoRGB(E34,255,128)</f>
        <v>130847</v>
      </c>
    </row>
    <row r="35" spans="1:6" x14ac:dyDescent="0.25">
      <c r="A35">
        <v>21.132386503529549</v>
      </c>
      <c r="B35">
        <v>29.81195333245698</v>
      </c>
      <c r="C35">
        <v>26.212947444118498</v>
      </c>
      <c r="E35" s="82">
        <v>82</v>
      </c>
      <c r="F35" s="54" cm="1">
        <f t="array" ref="F35">HSLtoRGB(E35,255,128)</f>
        <v>130835</v>
      </c>
    </row>
    <row r="36" spans="1:6" x14ac:dyDescent="0.25">
      <c r="A36">
        <v>21.308851743899311</v>
      </c>
      <c r="B36">
        <v>29.166658886920537</v>
      </c>
      <c r="C36">
        <v>27.877469652013211</v>
      </c>
      <c r="E36" s="82">
        <v>85</v>
      </c>
      <c r="F36" s="55" cm="1">
        <f t="array" ref="F36">HSLtoRGB(E36,255,128)</f>
        <v>130817</v>
      </c>
    </row>
    <row r="37" spans="1:6" x14ac:dyDescent="0.25">
      <c r="A37">
        <v>21.508299024556045</v>
      </c>
      <c r="B37">
        <v>28.957065170731589</v>
      </c>
      <c r="C37">
        <v>29.655414348039926</v>
      </c>
      <c r="E37" s="82">
        <v>87</v>
      </c>
      <c r="F37" s="56" cm="1">
        <f t="array" ref="F37">HSLtoRGB(E37,255,128)</f>
        <v>917249</v>
      </c>
    </row>
    <row r="38" spans="1:6" x14ac:dyDescent="0.25">
      <c r="A38">
        <v>21.426874066466205</v>
      </c>
      <c r="B38">
        <v>29.095776982823249</v>
      </c>
      <c r="C38">
        <v>31.40691872498909</v>
      </c>
      <c r="E38" s="82">
        <v>90</v>
      </c>
      <c r="F38" s="17" cm="1">
        <f t="array" ref="F38">HSLtoRGB(E38,255,128)</f>
        <v>2096897</v>
      </c>
    </row>
    <row r="39" spans="1:6" x14ac:dyDescent="0.25">
      <c r="A39">
        <v>21.366639952184471</v>
      </c>
      <c r="B39">
        <v>28.983306572954454</v>
      </c>
      <c r="C39">
        <v>33.293133085104131</v>
      </c>
      <c r="E39" s="82">
        <v>92</v>
      </c>
      <c r="F39" s="29" cm="1">
        <f t="array" ref="F39">HSLtoRGB(E39,255,128)</f>
        <v>2883329</v>
      </c>
    </row>
    <row r="40" spans="1:6" x14ac:dyDescent="0.25">
      <c r="A40">
        <v>21.707423228288707</v>
      </c>
      <c r="B40">
        <v>28.015570128907889</v>
      </c>
      <c r="C40">
        <v>34.945149912500526</v>
      </c>
      <c r="E40" s="82">
        <v>95</v>
      </c>
      <c r="F40" s="57" cm="1">
        <f t="array" ref="F40">HSLtoRGB(E40,255,128)</f>
        <v>4062977</v>
      </c>
    </row>
    <row r="41" spans="1:6" x14ac:dyDescent="0.25">
      <c r="A41">
        <v>22.261109588114827</v>
      </c>
      <c r="B41">
        <v>26.465455704072674</v>
      </c>
      <c r="C41">
        <v>35.335891490944988</v>
      </c>
      <c r="E41" s="82">
        <v>97</v>
      </c>
      <c r="F41" s="58" cm="1">
        <f t="array" ref="F41">HSLtoRGB(E41,255,128)</f>
        <v>4849409</v>
      </c>
    </row>
    <row r="42" spans="1:6" x14ac:dyDescent="0.25">
      <c r="A42">
        <v>22.260416245328017</v>
      </c>
      <c r="B42">
        <v>25.269959452668687</v>
      </c>
      <c r="C42">
        <v>36.001521757842241</v>
      </c>
      <c r="E42" s="82">
        <v>100</v>
      </c>
      <c r="F42" s="18" cm="1">
        <f t="array" ref="F42">HSLtoRGB(E42,255,128)</f>
        <v>6029057</v>
      </c>
    </row>
    <row r="43" spans="1:6" x14ac:dyDescent="0.25">
      <c r="A43">
        <v>22.338233746134485</v>
      </c>
      <c r="B43">
        <v>24.475606931421474</v>
      </c>
      <c r="C43">
        <v>37.776249494987681</v>
      </c>
      <c r="E43" s="82">
        <v>102</v>
      </c>
      <c r="F43" s="59" cm="1">
        <f t="array" ref="F43">HSLtoRGB(E43,255,128)</f>
        <v>6815489</v>
      </c>
    </row>
    <row r="44" spans="1:6" x14ac:dyDescent="0.25">
      <c r="A44">
        <v>22.560068464047028</v>
      </c>
      <c r="B44">
        <v>23.929804370640937</v>
      </c>
      <c r="C44">
        <v>39.579742129083563</v>
      </c>
      <c r="E44" s="82">
        <v>105</v>
      </c>
      <c r="F44" s="30" cm="1">
        <f t="array" ref="F44">HSLtoRGB(E44,255,128)</f>
        <v>7995137</v>
      </c>
    </row>
    <row r="45" spans="1:6" x14ac:dyDescent="0.25">
      <c r="A45">
        <v>22.877085546911371</v>
      </c>
      <c r="B45">
        <v>23.273358185100172</v>
      </c>
      <c r="C45">
        <v>41.327305371845071</v>
      </c>
      <c r="E45" s="82">
        <v>107</v>
      </c>
      <c r="F45" s="60" cm="1">
        <f t="array" ref="F45">HSLtoRGB(E45,255,128)</f>
        <v>8716033</v>
      </c>
    </row>
    <row r="46" spans="1:6" x14ac:dyDescent="0.25">
      <c r="A46">
        <v>23.234343879444893</v>
      </c>
      <c r="B46">
        <v>22.312022549317874</v>
      </c>
      <c r="C46">
        <v>42.981453570212892</v>
      </c>
      <c r="E46" s="82">
        <v>110</v>
      </c>
      <c r="F46" s="19" cm="1">
        <f t="array" ref="F46">HSLtoRGB(E46,255,128)</f>
        <v>9895681</v>
      </c>
    </row>
    <row r="47" spans="1:6" x14ac:dyDescent="0.25">
      <c r="A47">
        <v>23.770561698596829</v>
      </c>
      <c r="B47">
        <v>20.781194662768701</v>
      </c>
      <c r="C47">
        <v>43.699378721613265</v>
      </c>
      <c r="E47" s="82">
        <v>112</v>
      </c>
      <c r="F47" s="61" cm="1">
        <f t="array" ref="F47">HSLtoRGB(E47,255,128)</f>
        <v>10682113</v>
      </c>
    </row>
    <row r="48" spans="1:6" x14ac:dyDescent="0.25">
      <c r="A48">
        <v>23.827803757812049</v>
      </c>
      <c r="B48">
        <v>19.471988305806214</v>
      </c>
      <c r="C48">
        <v>42.811678266629933</v>
      </c>
      <c r="E48" s="82">
        <v>115</v>
      </c>
      <c r="F48" s="62" cm="1">
        <f t="array" ref="F48">HSLtoRGB(E48,255,128)</f>
        <v>11861761</v>
      </c>
    </row>
    <row r="49" spans="1:6" x14ac:dyDescent="0.25">
      <c r="A49">
        <v>23.586723306680597</v>
      </c>
      <c r="B49">
        <v>18.209293623592014</v>
      </c>
      <c r="C49">
        <v>44.236887106445799</v>
      </c>
      <c r="E49" s="82">
        <v>117</v>
      </c>
      <c r="F49" s="7" cm="1">
        <f t="array" ref="F49">HSLtoRGB(E49,255,128)</f>
        <v>12648193</v>
      </c>
    </row>
    <row r="50" spans="1:6" x14ac:dyDescent="0.25">
      <c r="A50">
        <v>23.733148483215786</v>
      </c>
      <c r="B50">
        <v>16.771468846886783</v>
      </c>
      <c r="C50">
        <v>45.547207398197607</v>
      </c>
      <c r="E50" s="82">
        <v>120</v>
      </c>
      <c r="F50" s="20" cm="1">
        <f t="array" ref="F50">HSLtoRGB(E50,255,128)</f>
        <v>13827841</v>
      </c>
    </row>
    <row r="51" spans="1:6" x14ac:dyDescent="0.25">
      <c r="A51">
        <v>23.979730086782489</v>
      </c>
      <c r="B51">
        <v>15.41163652554642</v>
      </c>
      <c r="C51">
        <v>46.928739026425646</v>
      </c>
      <c r="E51" s="82">
        <v>122</v>
      </c>
      <c r="F51" s="63" cm="1">
        <f t="array" ref="F51">HSLtoRGB(E51,255,128)</f>
        <v>14614273</v>
      </c>
    </row>
    <row r="52" spans="1:6" x14ac:dyDescent="0.25">
      <c r="A52">
        <v>24.324438684983111</v>
      </c>
      <c r="B52">
        <v>13.926574916793129</v>
      </c>
      <c r="C52">
        <v>48.130390786315715</v>
      </c>
      <c r="E52" s="82">
        <v>125</v>
      </c>
      <c r="F52" s="64" cm="1">
        <f t="array" ref="F52">HSLtoRGB(E52,255,128)</f>
        <v>15793921</v>
      </c>
    </row>
    <row r="53" spans="1:6" x14ac:dyDescent="0.25">
      <c r="A53">
        <v>24.485675123240469</v>
      </c>
      <c r="B53">
        <v>12.639401621222433</v>
      </c>
      <c r="C53">
        <v>47.083244064237419</v>
      </c>
      <c r="E53" s="82">
        <v>127</v>
      </c>
      <c r="F53" s="65" cm="1">
        <f t="array" ref="F53">HSLtoRGB(E53,255,128)</f>
        <v>16580353</v>
      </c>
    </row>
    <row r="54" spans="1:6" x14ac:dyDescent="0.25">
      <c r="A54">
        <v>24.470009363861553</v>
      </c>
      <c r="B54">
        <v>12.055224414464671</v>
      </c>
      <c r="C54">
        <v>45.213474680230775</v>
      </c>
      <c r="E54" s="82">
        <v>130</v>
      </c>
      <c r="F54" s="8" cm="1">
        <f t="array" ref="F54">HSLtoRGB(E54,255,128)</f>
        <v>16773121</v>
      </c>
    </row>
    <row r="55" spans="1:6" x14ac:dyDescent="0.25">
      <c r="A55">
        <v>24.459896726036284</v>
      </c>
      <c r="B55">
        <v>11.498271423652163</v>
      </c>
      <c r="C55">
        <v>43.340179713714008</v>
      </c>
      <c r="E55" s="82">
        <v>132</v>
      </c>
      <c r="F55" s="66" cm="1">
        <f t="array" ref="F55">HSLtoRGB(E55,255,128)</f>
        <v>16770049</v>
      </c>
    </row>
    <row r="56" spans="1:6" x14ac:dyDescent="0.25">
      <c r="A56">
        <v>24.455093359098058</v>
      </c>
      <c r="B56">
        <v>10.919588672697003</v>
      </c>
      <c r="C56">
        <v>41.476584468022338</v>
      </c>
      <c r="E56" s="82">
        <v>135</v>
      </c>
      <c r="F56" s="31" cm="1">
        <f t="array" ref="F56">HSLtoRGB(E56,255,128)</f>
        <v>16765441</v>
      </c>
    </row>
    <row r="57" spans="1:6" x14ac:dyDescent="0.25">
      <c r="A57">
        <v>24.431491683755802</v>
      </c>
      <c r="B57">
        <v>10.366821063921238</v>
      </c>
      <c r="C57">
        <v>39.695144030400044</v>
      </c>
      <c r="E57" s="82">
        <v>137</v>
      </c>
      <c r="F57" s="67" cm="1">
        <f t="array" ref="F57">HSLtoRGB(E57,255,128)</f>
        <v>16762369</v>
      </c>
    </row>
    <row r="58" spans="1:6" x14ac:dyDescent="0.25">
      <c r="A58">
        <v>24.527976327045906</v>
      </c>
      <c r="B58">
        <v>10.07033110047027</v>
      </c>
      <c r="C58">
        <v>37.768536845591314</v>
      </c>
      <c r="E58" s="82">
        <v>140</v>
      </c>
      <c r="F58" s="6" cm="1">
        <f t="array" ref="F58">HSLtoRGB(E58,255,128)</f>
        <v>16757761</v>
      </c>
    </row>
    <row r="59" spans="1:6" x14ac:dyDescent="0.25">
      <c r="A59">
        <v>24.537021062231823</v>
      </c>
      <c r="B59">
        <v>9.507766595674541</v>
      </c>
      <c r="C59">
        <v>36.283406207681949</v>
      </c>
      <c r="E59" s="82">
        <v>142</v>
      </c>
      <c r="F59" s="32" cm="1">
        <f t="array" ref="F59">HSLtoRGB(E59,255,128)</f>
        <v>16754689</v>
      </c>
    </row>
    <row r="60" spans="1:6" x14ac:dyDescent="0.25">
      <c r="A60">
        <v>24.137546054258323</v>
      </c>
      <c r="B60">
        <v>7.9115093816551783</v>
      </c>
      <c r="C60">
        <v>37.277187766067136</v>
      </c>
      <c r="E60" s="82">
        <v>145</v>
      </c>
      <c r="F60" s="68" cm="1">
        <f t="array" ref="F60">HSLtoRGB(E60,255,128)</f>
        <v>16750081</v>
      </c>
    </row>
    <row r="61" spans="1:6" x14ac:dyDescent="0.25">
      <c r="A61">
        <v>23.7592091449776</v>
      </c>
      <c r="B61">
        <v>6.2274817200143433</v>
      </c>
      <c r="C61">
        <v>37.139965704588256</v>
      </c>
      <c r="E61" s="82">
        <v>147</v>
      </c>
      <c r="F61" s="69" cm="1">
        <f t="array" ref="F61">HSLtoRGB(E61,255,128)</f>
        <v>16747009</v>
      </c>
    </row>
    <row r="62" spans="1:6" x14ac:dyDescent="0.25">
      <c r="A62">
        <v>23.330603877551383</v>
      </c>
      <c r="B62">
        <v>5.5549839642138084</v>
      </c>
      <c r="C62">
        <v>35.419653496717828</v>
      </c>
      <c r="E62" s="82">
        <v>150</v>
      </c>
      <c r="F62" s="21" cm="1">
        <f t="array" ref="F62">HSLtoRGB(E62,255,128)</f>
        <v>16742657</v>
      </c>
    </row>
    <row r="63" spans="1:6" x14ac:dyDescent="0.25">
      <c r="A63">
        <v>22.88185309911043</v>
      </c>
      <c r="B63">
        <v>5.3383861110726079</v>
      </c>
      <c r="C63">
        <v>33.622500949684664</v>
      </c>
      <c r="E63" s="82">
        <v>152</v>
      </c>
      <c r="F63" s="70" cm="1">
        <f t="array" ref="F63">HSLtoRGB(E63,255,128)</f>
        <v>16739585</v>
      </c>
    </row>
    <row r="64" spans="1:6" x14ac:dyDescent="0.25">
      <c r="A64">
        <v>22.513493207502627</v>
      </c>
      <c r="B64">
        <v>5.5426804467216755</v>
      </c>
      <c r="C64">
        <v>31.771663124631313</v>
      </c>
      <c r="E64" s="82">
        <v>155</v>
      </c>
      <c r="F64" s="71" cm="1">
        <f t="array" ref="F64">HSLtoRGB(E64,255,128)</f>
        <v>16734977</v>
      </c>
    </row>
    <row r="65" spans="1:6" x14ac:dyDescent="0.25">
      <c r="A65">
        <v>22.156281667465542</v>
      </c>
      <c r="B65">
        <v>5.7573099561464902</v>
      </c>
      <c r="C65">
        <v>29.95220375241863</v>
      </c>
      <c r="E65" s="82">
        <v>157</v>
      </c>
      <c r="F65" s="72" cm="1">
        <f t="array" ref="F65">HSLtoRGB(E65,255,128)</f>
        <v>16731905</v>
      </c>
    </row>
    <row r="66" spans="1:6" x14ac:dyDescent="0.25">
      <c r="A66">
        <v>21.9669995231333</v>
      </c>
      <c r="B66">
        <v>4.5927911535113113</v>
      </c>
      <c r="C66">
        <v>29.644404231620452</v>
      </c>
      <c r="E66" s="82">
        <v>160</v>
      </c>
      <c r="F66" s="22" cm="1">
        <f t="array" ref="F66">HSLtoRGB(E66,255,128)</f>
        <v>16727297</v>
      </c>
    </row>
    <row r="67" spans="1:6" x14ac:dyDescent="0.25">
      <c r="A67">
        <v>22.012416112600445</v>
      </c>
      <c r="B67">
        <v>2.6961320049633604</v>
      </c>
      <c r="C67">
        <v>30.057880177283472</v>
      </c>
      <c r="E67" s="82">
        <v>162</v>
      </c>
      <c r="F67" s="73" cm="1">
        <f t="array" ref="F67">HSLtoRGB(E67,255,128)</f>
        <v>16724225</v>
      </c>
    </row>
    <row r="68" spans="1:6" x14ac:dyDescent="0.25">
      <c r="A68">
        <v>21.443783146281937</v>
      </c>
      <c r="B68">
        <v>2.0658487960736966</v>
      </c>
      <c r="C68">
        <v>28.45216706116004</v>
      </c>
      <c r="E68" s="82">
        <v>165</v>
      </c>
      <c r="F68" s="74" cm="1">
        <f t="array" ref="F68">HSLtoRGB(E68,255,128)</f>
        <v>16719617</v>
      </c>
    </row>
    <row r="69" spans="1:6" x14ac:dyDescent="0.25">
      <c r="A69">
        <v>21.032719461005691</v>
      </c>
      <c r="B69">
        <v>2.2888603001480385</v>
      </c>
      <c r="C69">
        <v>26.593877705343473</v>
      </c>
      <c r="E69" s="82">
        <v>167</v>
      </c>
      <c r="F69" s="75" cm="1">
        <f t="array" ref="F69">HSLtoRGB(E69,255,128)</f>
        <v>16716545</v>
      </c>
    </row>
    <row r="70" spans="1:6" x14ac:dyDescent="0.25">
      <c r="A70">
        <v>20.953242519246814</v>
      </c>
      <c r="B70">
        <v>2.4152321069723883</v>
      </c>
      <c r="C70">
        <v>24.723566146858246</v>
      </c>
      <c r="E70" s="82">
        <v>170</v>
      </c>
      <c r="F70" s="23" cm="1">
        <f t="array" ref="F70">HSLtoRGB(E70,255,128)</f>
        <v>16711937</v>
      </c>
    </row>
    <row r="71" spans="1:6" x14ac:dyDescent="0.25">
      <c r="A71">
        <v>20.87152035477866</v>
      </c>
      <c r="B71">
        <v>2.8764098447741135</v>
      </c>
      <c r="C71">
        <v>22.886746202060998</v>
      </c>
      <c r="E71" s="82">
        <v>172</v>
      </c>
      <c r="F71" s="33" cm="1">
        <f t="array" ref="F71">HSLtoRGB(E71,255,128)</f>
        <v>16711949</v>
      </c>
    </row>
    <row r="72" spans="1:6" x14ac:dyDescent="0.25">
      <c r="A72">
        <v>20.717899333551085</v>
      </c>
      <c r="B72">
        <v>2.4381174196466806</v>
      </c>
      <c r="C72">
        <v>21.306353252629712</v>
      </c>
      <c r="E72" s="82">
        <v>175</v>
      </c>
      <c r="F72" s="76" cm="1">
        <f t="array" ref="F72">HSLtoRGB(E72,255,128)</f>
        <v>16711967</v>
      </c>
    </row>
    <row r="73" spans="1:6" x14ac:dyDescent="0.25">
      <c r="A73">
        <v>21.247753409758843</v>
      </c>
      <c r="B73">
        <v>0.59858382331426707</v>
      </c>
      <c r="C73">
        <v>21.451299616530196</v>
      </c>
      <c r="E73" s="82">
        <v>177</v>
      </c>
      <c r="F73" s="77" cm="1">
        <f t="array" ref="F73">HSLtoRGB(E73,255,128)</f>
        <v>16711979</v>
      </c>
    </row>
    <row r="74" spans="1:6" x14ac:dyDescent="0.25">
      <c r="A74">
        <v>21.227797044109252</v>
      </c>
      <c r="B74">
        <v>-0.28505860706214498</v>
      </c>
      <c r="C74">
        <v>20.181016219553182</v>
      </c>
      <c r="E74" s="82">
        <v>180</v>
      </c>
      <c r="F74" s="24" cm="1">
        <f t="array" ref="F74">HSLtoRGB(E74,255,128)</f>
        <v>16711997</v>
      </c>
    </row>
    <row r="75" spans="1:6" x14ac:dyDescent="0.25">
      <c r="A75">
        <v>21.306296675203484</v>
      </c>
      <c r="B75">
        <v>0.16014042678031171</v>
      </c>
      <c r="C75">
        <v>18.286664782775802</v>
      </c>
      <c r="E75" s="82">
        <v>182</v>
      </c>
      <c r="F75" s="78" cm="1">
        <f t="array" ref="F75">HSLtoRGB(E75,255,128)</f>
        <v>16712009</v>
      </c>
    </row>
    <row r="76" spans="1:6" x14ac:dyDescent="0.25">
      <c r="A76">
        <v>21.365552349383794</v>
      </c>
      <c r="B76">
        <v>0.62730645024697362</v>
      </c>
      <c r="C76">
        <v>16.493219574680214</v>
      </c>
      <c r="E76" s="82">
        <v>185</v>
      </c>
      <c r="F76" s="34" cm="1">
        <f t="array" ref="F76">HSLtoRGB(E76,255,128)</f>
        <v>16712027</v>
      </c>
    </row>
    <row r="77" spans="1:6" x14ac:dyDescent="0.25">
      <c r="A77">
        <v>21.489923790194066</v>
      </c>
      <c r="B77">
        <v>0.97797817764509531</v>
      </c>
      <c r="C77">
        <v>14.77949539709789</v>
      </c>
      <c r="E77" s="82">
        <v>187</v>
      </c>
      <c r="F77" s="79" cm="1">
        <f t="array" ref="F77">HSLtoRGB(E77,255,128)</f>
        <v>16712039</v>
      </c>
    </row>
    <row r="78" spans="1:6" x14ac:dyDescent="0.25">
      <c r="A78">
        <v>21.365248985762349</v>
      </c>
      <c r="B78">
        <v>-0.22407835097434539</v>
      </c>
      <c r="C78">
        <v>13.702808877601662</v>
      </c>
      <c r="E78" s="82">
        <v>190</v>
      </c>
      <c r="F78" s="25" cm="1">
        <f t="array" ref="F78">HSLtoRGB(E78,255,128)</f>
        <v>16712057</v>
      </c>
    </row>
    <row r="79" spans="1:6" x14ac:dyDescent="0.25">
      <c r="A79">
        <v>21.371526454211839</v>
      </c>
      <c r="B79">
        <v>0.37386210053711921</v>
      </c>
      <c r="C79">
        <v>11.981317988965676</v>
      </c>
      <c r="E79" s="82">
        <v>192</v>
      </c>
      <c r="F79" s="80" cm="1">
        <f t="array" ref="F79">HSLtoRGB(E79,255,128)</f>
        <v>16712068</v>
      </c>
    </row>
    <row r="80" spans="1:6" x14ac:dyDescent="0.25">
      <c r="A80">
        <v>21.353885388571918</v>
      </c>
      <c r="B80">
        <v>1.1489184395648879</v>
      </c>
      <c r="C80">
        <v>10.245592776874039</v>
      </c>
      <c r="E80" s="82">
        <v>195</v>
      </c>
      <c r="F80" s="81" cm="1">
        <f t="array" ref="F80">HSLtoRGB(E80,255,128)</f>
        <v>16712086</v>
      </c>
    </row>
  </sheetData>
  <pageMargins left="0.7" right="0.7" top="0.75" bottom="0.75" header="0.3" footer="0.3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3073" r:id="rId3" name="Button 1">
              <controlPr defaultSize="0" print="0" autoFill="0" autoPict="0" macro="[0]!btnWrite">
                <anchor moveWithCells="1" sizeWithCells="1">
                  <from>
                    <xdr:col>10</xdr:col>
                    <xdr:colOff>0</xdr:colOff>
                    <xdr:row>0</xdr:row>
                    <xdr:rowOff>0</xdr:rowOff>
                  </from>
                  <to>
                    <xdr:col>11</xdr:col>
                    <xdr:colOff>0</xdr:colOff>
                    <xdr:row>1</xdr:row>
                    <xdr:rowOff>0</xdr:rowOff>
                  </to>
                </anchor>
              </controlPr>
            </control>
          </mc:Choice>
        </mc:AlternateContent>
      </controls>
    </mc:Choice>
  </mc:AlternateContent>
</worksheet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item1.xml>�� 
</file>

<file path=customXml/itemProps1.xml><?xml version="1.0" encoding="utf-8"?>
<ds:datastoreItem xmlns:ds="http://schemas.openxmlformats.org/officeDocument/2006/customXml" ds:itemID="{3874F49E-5DA5-4F09-80B4-F8CBE9822ECB}">
  <ds:schemaRefs>
    <ds:schemaRef ds:uri="http://schemas.microsoft.com/DataMashup"/>
  </ds:schemaRefs>
</ds:datastoreItem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3</vt:i4>
      </vt:variant>
      <vt:variant>
        <vt:lpstr>Named Ranges</vt:lpstr>
      </vt:variant>
      <vt:variant>
        <vt:i4>11</vt:i4>
      </vt:variant>
    </vt:vector>
  </HeadingPairs>
  <TitlesOfParts>
    <vt:vector size="14" baseType="lpstr">
      <vt:lpstr>Base</vt:lpstr>
      <vt:lpstr>Arch</vt:lpstr>
      <vt:lpstr>Combined</vt:lpstr>
      <vt:lpstr>GraphData_Arch</vt:lpstr>
      <vt:lpstr>GraphData_Base</vt:lpstr>
      <vt:lpstr>Arch!vbaDataRead</vt:lpstr>
      <vt:lpstr>Base!vbaDataRead</vt:lpstr>
      <vt:lpstr>Arch!vbaFileName</vt:lpstr>
      <vt:lpstr>Base!vbaFileName</vt:lpstr>
      <vt:lpstr>Combined!vbaFileName</vt:lpstr>
      <vt:lpstr>vbaNameOut</vt:lpstr>
      <vt:lpstr>Arch!vbaRgeColors</vt:lpstr>
      <vt:lpstr>Base!vbaRgeColors</vt:lpstr>
      <vt:lpstr>Combined!vbaRgeColors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Andrew Crisp</dc:creator>
  <cp:lastModifiedBy>Andrew Crisp</cp:lastModifiedBy>
  <dcterms:created xsi:type="dcterms:W3CDTF">2025-07-22T05:19:53Z</dcterms:created>
  <dcterms:modified xsi:type="dcterms:W3CDTF">2025-08-14T23:33:53Z</dcterms:modified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WorkbookGuid">
    <vt:lpwstr>71131435-3dad-4d4a-bb86-6627d4063f83</vt:lpwstr>
  </property>
</Properties>
</file>