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W:\GitHub\PHD_XLS_Validator\"/>
    </mc:Choice>
  </mc:AlternateContent>
  <xr:revisionPtr revIDLastSave="0" documentId="13_ncr:1_{E1B7E2FE-A976-4A24-AFFF-B77FF99E742C}" xr6:coauthVersionLast="47" xr6:coauthVersionMax="47" xr10:uidLastSave="{00000000-0000-0000-0000-000000000000}"/>
  <bookViews>
    <workbookView xWindow="-120" yWindow="-120" windowWidth="51840" windowHeight="21240" activeTab="2" xr2:uid="{B30E8A96-C8BB-4099-9CE9-6C249E4F3EED}"/>
  </bookViews>
  <sheets>
    <sheet name="Base" sheetId="1" r:id="rId1"/>
    <sheet name="Arch" sheetId="2" r:id="rId2"/>
    <sheet name="Combined" sheetId="3" r:id="rId3"/>
  </sheets>
  <functionGroups builtInGroupCount="19"/>
  <definedNames>
    <definedName name="GraphData_Arch">Arch!$G$2:$I$120</definedName>
    <definedName name="GraphData_Base">Base!$G$2:$I$61</definedName>
    <definedName name="vbaDataOut">_xlfn.ANCHORARRAY(Combined!$A$2)</definedName>
    <definedName name="vbaDataRead" localSheetId="1">Arch!$A$2:$C$2000</definedName>
    <definedName name="vbaDataRead" localSheetId="0">Base!$A$2:$C$2000</definedName>
    <definedName name="vbaFileName" localSheetId="1">Arch!$L$1</definedName>
    <definedName name="vbaFileName" localSheetId="0">Base!$L$1</definedName>
    <definedName name="vbaFileName" localSheetId="2">Combined!$G$1</definedName>
    <definedName name="vbaNameOut">Combined!$L$1</definedName>
    <definedName name="vbaRgeColors" localSheetId="1">Arch!$K$2:$K$120</definedName>
    <definedName name="vbaRgeColors" localSheetId="0">Base!$K$2:$K$61</definedName>
    <definedName name="vbaRgeColors" localSheetId="2">Combined!$F$2:$F$180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" l="1" a="1"/>
  <c r="G2" i="2" s="1"/>
  <c r="G3" i="2" a="1"/>
  <c r="G3" i="2" s="1"/>
  <c r="H2" i="2" a="1"/>
  <c r="H2" i="2" s="1"/>
  <c r="I2" i="2" a="1"/>
  <c r="I2" i="2" s="1"/>
  <c r="A2" i="3" a="1"/>
  <c r="L1" i="3" a="1"/>
  <c r="L1" i="3" s="1"/>
  <c r="F2" i="3" a="1"/>
  <c r="F2" i="3" s="1"/>
  <c r="F3" i="3" a="1"/>
  <c r="F3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F43" i="3" a="1"/>
  <c r="F43" i="3" s="1"/>
  <c r="F44" i="3" a="1"/>
  <c r="F44" i="3" s="1"/>
  <c r="F45" i="3" a="1"/>
  <c r="F45" i="3" s="1"/>
  <c r="F46" i="3" a="1"/>
  <c r="F46" i="3" s="1"/>
  <c r="F47" i="3" a="1"/>
  <c r="F47" i="3" s="1"/>
  <c r="F48" i="3" a="1"/>
  <c r="F48" i="3" s="1"/>
  <c r="F49" i="3" a="1"/>
  <c r="F49" i="3" s="1"/>
  <c r="F50" i="3" a="1"/>
  <c r="F50" i="3" s="1"/>
  <c r="F51" i="3" a="1"/>
  <c r="F51" i="3" s="1"/>
  <c r="F52" i="3" a="1"/>
  <c r="F52" i="3" s="1"/>
  <c r="F53" i="3" a="1"/>
  <c r="F53" i="3" s="1"/>
  <c r="F54" i="3" a="1"/>
  <c r="F54" i="3" s="1"/>
  <c r="F55" i="3" a="1"/>
  <c r="F55" i="3" s="1"/>
  <c r="F56" i="3" a="1"/>
  <c r="F56" i="3" s="1"/>
  <c r="F57" i="3" a="1"/>
  <c r="F57" i="3" s="1"/>
  <c r="F58" i="3" a="1"/>
  <c r="F58" i="3" s="1"/>
  <c r="F59" i="3" a="1"/>
  <c r="F59" i="3" s="1"/>
  <c r="F60" i="3" a="1"/>
  <c r="F60" i="3" s="1"/>
  <c r="F61" i="3" a="1"/>
  <c r="F61" i="3" s="1"/>
  <c r="F62" i="3" a="1"/>
  <c r="F62" i="3" s="1"/>
  <c r="F63" i="3" a="1"/>
  <c r="F63" i="3" s="1"/>
  <c r="F64" i="3" a="1"/>
  <c r="F64" i="3" s="1"/>
  <c r="F65" i="3" a="1"/>
  <c r="F65" i="3" s="1"/>
  <c r="F66" i="3" a="1"/>
  <c r="F66" i="3" s="1"/>
  <c r="F67" i="3" a="1"/>
  <c r="F67" i="3" s="1"/>
  <c r="F68" i="3" a="1"/>
  <c r="F68" i="3" s="1"/>
  <c r="F69" i="3" a="1"/>
  <c r="F69" i="3" s="1"/>
  <c r="F70" i="3" a="1"/>
  <c r="F70" i="3" s="1"/>
  <c r="F71" i="3" a="1"/>
  <c r="F71" i="3" s="1"/>
  <c r="F72" i="3" a="1"/>
  <c r="F72" i="3" s="1"/>
  <c r="F73" i="3" a="1"/>
  <c r="F73" i="3" s="1"/>
  <c r="F74" i="3" a="1"/>
  <c r="F74" i="3" s="1"/>
  <c r="F75" i="3" a="1"/>
  <c r="F75" i="3" s="1"/>
  <c r="F76" i="3" a="1"/>
  <c r="F76" i="3" s="1"/>
  <c r="F77" i="3" a="1"/>
  <c r="F77" i="3" s="1"/>
  <c r="F78" i="3" a="1"/>
  <c r="F78" i="3" s="1"/>
  <c r="F79" i="3" a="1"/>
  <c r="F79" i="3" s="1"/>
  <c r="F80" i="3" a="1"/>
  <c r="F80" i="3" s="1"/>
  <c r="F81" i="3" a="1"/>
  <c r="F81" i="3" s="1"/>
  <c r="F82" i="3" a="1"/>
  <c r="F82" i="3" s="1"/>
  <c r="F83" i="3" a="1"/>
  <c r="F83" i="3" s="1"/>
  <c r="F84" i="3" a="1"/>
  <c r="F84" i="3" s="1"/>
  <c r="F85" i="3" a="1"/>
  <c r="F85" i="3" s="1"/>
  <c r="F86" i="3" a="1"/>
  <c r="F86" i="3" s="1"/>
  <c r="F87" i="3" a="1"/>
  <c r="F87" i="3" s="1"/>
  <c r="F88" i="3" a="1"/>
  <c r="F88" i="3" s="1"/>
  <c r="F89" i="3" a="1"/>
  <c r="F89" i="3" s="1"/>
  <c r="F90" i="3" a="1"/>
  <c r="F90" i="3" s="1"/>
  <c r="F91" i="3" a="1"/>
  <c r="F91" i="3" s="1"/>
  <c r="F92" i="3" a="1"/>
  <c r="F92" i="3" s="1"/>
  <c r="F93" i="3" a="1"/>
  <c r="F93" i="3" s="1"/>
  <c r="F94" i="3" a="1"/>
  <c r="F94" i="3" s="1"/>
  <c r="F95" i="3" a="1"/>
  <c r="F95" i="3" s="1"/>
  <c r="F96" i="3" a="1"/>
  <c r="F96" i="3" s="1"/>
  <c r="F97" i="3" a="1"/>
  <c r="F97" i="3" s="1"/>
  <c r="F98" i="3" a="1"/>
  <c r="F98" i="3" s="1"/>
  <c r="F99" i="3" a="1"/>
  <c r="F99" i="3" s="1"/>
  <c r="F100" i="3" a="1"/>
  <c r="F100" i="3" s="1"/>
  <c r="F101" i="3" a="1"/>
  <c r="F101" i="3" s="1"/>
  <c r="F102" i="3" a="1"/>
  <c r="F102" i="3" s="1"/>
  <c r="F103" i="3" a="1"/>
  <c r="F103" i="3" s="1"/>
  <c r="F104" i="3" a="1"/>
  <c r="F104" i="3" s="1"/>
  <c r="F105" i="3" a="1"/>
  <c r="F105" i="3" s="1"/>
  <c r="F106" i="3" a="1"/>
  <c r="F106" i="3" s="1"/>
  <c r="F107" i="3" a="1"/>
  <c r="F107" i="3" s="1"/>
  <c r="F108" i="3" a="1"/>
  <c r="F108" i="3" s="1"/>
  <c r="F109" i="3" a="1"/>
  <c r="F109" i="3" s="1"/>
  <c r="F110" i="3" a="1"/>
  <c r="F110" i="3" s="1"/>
  <c r="F111" i="3" a="1"/>
  <c r="F111" i="3" s="1"/>
  <c r="F112" i="3" a="1"/>
  <c r="F112" i="3" s="1"/>
  <c r="F113" i="3" a="1"/>
  <c r="F113" i="3" s="1"/>
  <c r="F114" i="3" a="1"/>
  <c r="F114" i="3" s="1"/>
  <c r="F115" i="3" a="1"/>
  <c r="F115" i="3" s="1"/>
  <c r="F116" i="3" a="1"/>
  <c r="F116" i="3" s="1"/>
  <c r="F117" i="3" a="1"/>
  <c r="F117" i="3" s="1"/>
  <c r="F118" i="3" a="1"/>
  <c r="F118" i="3" s="1"/>
  <c r="F119" i="3" a="1"/>
  <c r="F119" i="3" s="1"/>
  <c r="F120" i="3" a="1"/>
  <c r="F120" i="3" s="1"/>
  <c r="F121" i="3" a="1"/>
  <c r="F121" i="3" s="1"/>
  <c r="F122" i="3" a="1"/>
  <c r="F122" i="3" s="1"/>
  <c r="F123" i="3" a="1"/>
  <c r="F123" i="3" s="1"/>
  <c r="F124" i="3" a="1"/>
  <c r="F124" i="3" s="1"/>
  <c r="F125" i="3" a="1"/>
  <c r="F125" i="3" s="1"/>
  <c r="F126" i="3" a="1"/>
  <c r="F126" i="3" s="1"/>
  <c r="F127" i="3" a="1"/>
  <c r="F127" i="3" s="1"/>
  <c r="F128" i="3" a="1"/>
  <c r="F128" i="3" s="1"/>
  <c r="F129" i="3" a="1"/>
  <c r="F129" i="3" s="1"/>
  <c r="F130" i="3" a="1"/>
  <c r="F130" i="3" s="1"/>
  <c r="F131" i="3" a="1"/>
  <c r="F131" i="3" s="1"/>
  <c r="F132" i="3" a="1"/>
  <c r="F132" i="3" s="1"/>
  <c r="F133" i="3" a="1"/>
  <c r="F133" i="3" s="1"/>
  <c r="F134" i="3" a="1"/>
  <c r="F134" i="3" s="1"/>
  <c r="F135" i="3" a="1"/>
  <c r="F135" i="3" s="1"/>
  <c r="F136" i="3" a="1"/>
  <c r="F136" i="3" s="1"/>
  <c r="F137" i="3" a="1"/>
  <c r="F137" i="3" s="1"/>
  <c r="F138" i="3" a="1"/>
  <c r="F138" i="3" s="1"/>
  <c r="F139" i="3" a="1"/>
  <c r="F139" i="3" s="1"/>
  <c r="F140" i="3" a="1"/>
  <c r="F140" i="3" s="1"/>
  <c r="F141" i="3" a="1"/>
  <c r="F141" i="3" s="1"/>
  <c r="F142" i="3" a="1"/>
  <c r="F142" i="3" s="1"/>
  <c r="F143" i="3" a="1"/>
  <c r="F143" i="3" s="1"/>
  <c r="F144" i="3" a="1"/>
  <c r="F144" i="3" s="1"/>
  <c r="F145" i="3" a="1"/>
  <c r="F145" i="3" s="1"/>
  <c r="F146" i="3" a="1"/>
  <c r="F146" i="3" s="1"/>
  <c r="F147" i="3" a="1"/>
  <c r="F147" i="3" s="1"/>
  <c r="F148" i="3" a="1"/>
  <c r="F148" i="3" s="1"/>
  <c r="F149" i="3" a="1"/>
  <c r="F149" i="3" s="1"/>
  <c r="F150" i="3" a="1"/>
  <c r="F150" i="3" s="1"/>
  <c r="F151" i="3" a="1"/>
  <c r="F151" i="3" s="1"/>
  <c r="F152" i="3" a="1"/>
  <c r="F152" i="3" s="1"/>
  <c r="F153" i="3" a="1"/>
  <c r="F153" i="3" s="1"/>
  <c r="F154" i="3" a="1"/>
  <c r="F154" i="3" s="1"/>
  <c r="F155" i="3" a="1"/>
  <c r="F155" i="3" s="1"/>
  <c r="F156" i="3" a="1"/>
  <c r="F156" i="3" s="1"/>
  <c r="F157" i="3" a="1"/>
  <c r="F157" i="3" s="1"/>
  <c r="F158" i="3" a="1"/>
  <c r="F158" i="3" s="1"/>
  <c r="F159" i="3" a="1"/>
  <c r="F159" i="3" s="1"/>
  <c r="F160" i="3" a="1"/>
  <c r="F160" i="3" s="1"/>
  <c r="F161" i="3" a="1"/>
  <c r="F161" i="3" s="1"/>
  <c r="F162" i="3" a="1"/>
  <c r="F162" i="3" s="1"/>
  <c r="F163" i="3" a="1"/>
  <c r="F163" i="3" s="1"/>
  <c r="F164" i="3" a="1"/>
  <c r="F164" i="3" s="1"/>
  <c r="F165" i="3" a="1"/>
  <c r="F165" i="3" s="1"/>
  <c r="F166" i="3" a="1"/>
  <c r="F166" i="3" s="1"/>
  <c r="F167" i="3" a="1"/>
  <c r="F167" i="3" s="1"/>
  <c r="F168" i="3" a="1"/>
  <c r="F168" i="3" s="1"/>
  <c r="F169" i="3" a="1"/>
  <c r="F169" i="3" s="1"/>
  <c r="F170" i="3" a="1"/>
  <c r="F170" i="3" s="1"/>
  <c r="F171" i="3" a="1"/>
  <c r="F171" i="3" s="1"/>
  <c r="F172" i="3" a="1"/>
  <c r="F172" i="3" s="1"/>
  <c r="F173" i="3" a="1"/>
  <c r="F173" i="3" s="1"/>
  <c r="F174" i="3" a="1"/>
  <c r="F174" i="3" s="1"/>
  <c r="F175" i="3" a="1"/>
  <c r="F175" i="3" s="1"/>
  <c r="F176" i="3" a="1"/>
  <c r="F176" i="3" s="1"/>
  <c r="F177" i="3" a="1"/>
  <c r="F177" i="3" s="1"/>
  <c r="F178" i="3" a="1"/>
  <c r="F178" i="3" s="1"/>
  <c r="F179" i="3" a="1"/>
  <c r="F179" i="3" s="1"/>
  <c r="F180" i="3" a="1"/>
  <c r="F180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G61" i="2" a="1"/>
  <c r="G61" i="2" s="1"/>
  <c r="H61" i="2" a="1"/>
  <c r="H61" i="2" s="1"/>
  <c r="I61" i="2" a="1"/>
  <c r="I61" i="2" s="1"/>
  <c r="G62" i="2" a="1"/>
  <c r="G62" i="2" s="1"/>
  <c r="H62" i="2" a="1"/>
  <c r="H62" i="2" s="1"/>
  <c r="I62" i="2" a="1"/>
  <c r="I62" i="2" s="1"/>
  <c r="G63" i="2" a="1"/>
  <c r="G63" i="2" s="1"/>
  <c r="H63" i="2" a="1"/>
  <c r="H63" i="2"/>
  <c r="I63" i="2" a="1"/>
  <c r="I63" i="2" s="1"/>
  <c r="G64" i="2" a="1"/>
  <c r="G64" i="2" s="1"/>
  <c r="H64" i="2" a="1"/>
  <c r="H64" i="2" s="1"/>
  <c r="I64" i="2" a="1"/>
  <c r="I64" i="2" s="1"/>
  <c r="G65" i="2" a="1"/>
  <c r="G65" i="2" s="1"/>
  <c r="H65" i="2" a="1"/>
  <c r="H65" i="2" s="1"/>
  <c r="I65" i="2" a="1"/>
  <c r="I65" i="2" s="1"/>
  <c r="G66" i="2" a="1"/>
  <c r="G66" i="2" s="1"/>
  <c r="H66" i="2" a="1"/>
  <c r="H66" i="2" s="1"/>
  <c r="I66" i="2" a="1"/>
  <c r="I66" i="2" s="1"/>
  <c r="G67" i="2" a="1"/>
  <c r="G67" i="2" s="1"/>
  <c r="H67" i="2" a="1"/>
  <c r="H67" i="2" s="1"/>
  <c r="I67" i="2" a="1"/>
  <c r="I67" i="2" s="1"/>
  <c r="G68" i="2" a="1"/>
  <c r="G68" i="2" s="1"/>
  <c r="H68" i="2" a="1"/>
  <c r="H68" i="2" s="1"/>
  <c r="I68" i="2" a="1"/>
  <c r="I68" i="2" s="1"/>
  <c r="G69" i="2" a="1"/>
  <c r="G69" i="2" s="1"/>
  <c r="H69" i="2" a="1"/>
  <c r="H69" i="2" s="1"/>
  <c r="I69" i="2" a="1"/>
  <c r="I69" i="2"/>
  <c r="G70" i="2" a="1"/>
  <c r="G70" i="2" s="1"/>
  <c r="H70" i="2" a="1"/>
  <c r="H70" i="2" s="1"/>
  <c r="I70" i="2" a="1"/>
  <c r="I70" i="2" s="1"/>
  <c r="G71" i="2" a="1"/>
  <c r="G71" i="2" s="1"/>
  <c r="H71" i="2" a="1"/>
  <c r="H71" i="2" s="1"/>
  <c r="I71" i="2" a="1"/>
  <c r="I71" i="2" s="1"/>
  <c r="G72" i="2" a="1"/>
  <c r="G72" i="2" s="1"/>
  <c r="H72" i="2" a="1"/>
  <c r="H72" i="2" s="1"/>
  <c r="I72" i="2" a="1"/>
  <c r="I72" i="2" s="1"/>
  <c r="G73" i="2" a="1"/>
  <c r="G73" i="2" s="1"/>
  <c r="H73" i="2" a="1"/>
  <c r="H73" i="2" s="1"/>
  <c r="I73" i="2" a="1"/>
  <c r="I73" i="2" s="1"/>
  <c r="G74" i="2" a="1"/>
  <c r="G74" i="2" s="1"/>
  <c r="H74" i="2" a="1"/>
  <c r="H74" i="2" s="1"/>
  <c r="I74" i="2" a="1"/>
  <c r="I74" i="2" s="1"/>
  <c r="G75" i="2" a="1"/>
  <c r="G75" i="2" s="1"/>
  <c r="H75" i="2" a="1"/>
  <c r="H75" i="2" s="1"/>
  <c r="I75" i="2" a="1"/>
  <c r="I75" i="2" s="1"/>
  <c r="G76" i="2" a="1"/>
  <c r="G76" i="2" s="1"/>
  <c r="H76" i="2" a="1"/>
  <c r="H76" i="2" s="1"/>
  <c r="I76" i="2" a="1"/>
  <c r="I76" i="2" s="1"/>
  <c r="G77" i="2" a="1"/>
  <c r="G77" i="2" s="1"/>
  <c r="H77" i="2" a="1"/>
  <c r="H77" i="2" s="1"/>
  <c r="I77" i="2" a="1"/>
  <c r="I77" i="2" s="1"/>
  <c r="G78" i="2" a="1"/>
  <c r="G78" i="2" s="1"/>
  <c r="H78" i="2" a="1"/>
  <c r="H78" i="2" s="1"/>
  <c r="I78" i="2" a="1"/>
  <c r="I78" i="2" s="1"/>
  <c r="G79" i="2" a="1"/>
  <c r="G79" i="2" s="1"/>
  <c r="H79" i="2" a="1"/>
  <c r="H79" i="2" s="1"/>
  <c r="I79" i="2" a="1"/>
  <c r="I79" i="2" s="1"/>
  <c r="G80" i="2" a="1"/>
  <c r="G80" i="2" s="1"/>
  <c r="H80" i="2" a="1"/>
  <c r="H80" i="2" s="1"/>
  <c r="I80" i="2" a="1"/>
  <c r="I80" i="2" s="1"/>
  <c r="G81" i="2" a="1"/>
  <c r="G81" i="2" s="1"/>
  <c r="H81" i="2" a="1"/>
  <c r="H81" i="2" s="1"/>
  <c r="I81" i="2" a="1"/>
  <c r="I81" i="2" s="1"/>
  <c r="G82" i="2" a="1"/>
  <c r="G82" i="2" s="1"/>
  <c r="H82" i="2" a="1"/>
  <c r="H82" i="2" s="1"/>
  <c r="I82" i="2" a="1"/>
  <c r="I82" i="2" s="1"/>
  <c r="G83" i="2" a="1"/>
  <c r="G83" i="2" s="1"/>
  <c r="H83" i="2" a="1"/>
  <c r="H83" i="2"/>
  <c r="I83" i="2" a="1"/>
  <c r="I83" i="2" s="1"/>
  <c r="G84" i="2" a="1"/>
  <c r="G84" i="2" s="1"/>
  <c r="H84" i="2" a="1"/>
  <c r="H84" i="2" s="1"/>
  <c r="I84" i="2" a="1"/>
  <c r="I84" i="2" s="1"/>
  <c r="G85" i="2" a="1"/>
  <c r="G85" i="2" s="1"/>
  <c r="H85" i="2" a="1"/>
  <c r="H85" i="2" s="1"/>
  <c r="I85" i="2" a="1"/>
  <c r="I85" i="2" s="1"/>
  <c r="G86" i="2" a="1"/>
  <c r="G86" i="2" s="1"/>
  <c r="H86" i="2" a="1"/>
  <c r="H86" i="2" s="1"/>
  <c r="I86" i="2" a="1"/>
  <c r="I86" i="2" s="1"/>
  <c r="G87" i="2" a="1"/>
  <c r="G87" i="2" s="1"/>
  <c r="H87" i="2" a="1"/>
  <c r="H87" i="2" s="1"/>
  <c r="I87" i="2" a="1"/>
  <c r="I87" i="2" s="1"/>
  <c r="G88" i="2" a="1"/>
  <c r="G88" i="2" s="1"/>
  <c r="H88" i="2" a="1"/>
  <c r="H88" i="2" s="1"/>
  <c r="I88" i="2" a="1"/>
  <c r="I88" i="2" s="1"/>
  <c r="G89" i="2" a="1"/>
  <c r="G89" i="2" s="1"/>
  <c r="H89" i="2" a="1"/>
  <c r="H89" i="2" s="1"/>
  <c r="I89" i="2" a="1"/>
  <c r="I89" i="2" s="1"/>
  <c r="G90" i="2" a="1"/>
  <c r="G90" i="2" s="1"/>
  <c r="H90" i="2" a="1"/>
  <c r="H90" i="2" s="1"/>
  <c r="I90" i="2" a="1"/>
  <c r="I90" i="2" s="1"/>
  <c r="G91" i="2" a="1"/>
  <c r="G91" i="2" s="1"/>
  <c r="H91" i="2" a="1"/>
  <c r="H91" i="2" s="1"/>
  <c r="I91" i="2" a="1"/>
  <c r="I91" i="2" s="1"/>
  <c r="G92" i="2" a="1"/>
  <c r="G92" i="2" s="1"/>
  <c r="H92" i="2" a="1"/>
  <c r="H92" i="2" s="1"/>
  <c r="I92" i="2" a="1"/>
  <c r="I92" i="2" s="1"/>
  <c r="G93" i="2" a="1"/>
  <c r="G93" i="2" s="1"/>
  <c r="H93" i="2" a="1"/>
  <c r="H93" i="2" s="1"/>
  <c r="I93" i="2" a="1"/>
  <c r="I93" i="2" s="1"/>
  <c r="G94" i="2" a="1"/>
  <c r="G94" i="2" s="1"/>
  <c r="H94" i="2" a="1"/>
  <c r="H94" i="2" s="1"/>
  <c r="I94" i="2" a="1"/>
  <c r="I94" i="2" s="1"/>
  <c r="G95" i="2" a="1"/>
  <c r="G95" i="2" s="1"/>
  <c r="H95" i="2" a="1"/>
  <c r="H95" i="2" s="1"/>
  <c r="I95" i="2" a="1"/>
  <c r="I95" i="2" s="1"/>
  <c r="G96" i="2" a="1"/>
  <c r="G96" i="2" s="1"/>
  <c r="H96" i="2" a="1"/>
  <c r="H96" i="2" s="1"/>
  <c r="I96" i="2" a="1"/>
  <c r="I96" i="2" s="1"/>
  <c r="G97" i="2" a="1"/>
  <c r="G97" i="2" s="1"/>
  <c r="H97" i="2" a="1"/>
  <c r="H97" i="2" s="1"/>
  <c r="I97" i="2" a="1"/>
  <c r="I97" i="2" s="1"/>
  <c r="G98" i="2" a="1"/>
  <c r="G98" i="2" s="1"/>
  <c r="H98" i="2" a="1"/>
  <c r="H98" i="2" s="1"/>
  <c r="I98" i="2" a="1"/>
  <c r="I98" i="2" s="1"/>
  <c r="G99" i="2" a="1"/>
  <c r="G99" i="2" s="1"/>
  <c r="H99" i="2" a="1"/>
  <c r="H99" i="2" s="1"/>
  <c r="I99" i="2" a="1"/>
  <c r="I99" i="2" s="1"/>
  <c r="G100" i="2" a="1"/>
  <c r="G100" i="2" s="1"/>
  <c r="H100" i="2" a="1"/>
  <c r="H100" i="2" s="1"/>
  <c r="I100" i="2" a="1"/>
  <c r="I100" i="2" s="1"/>
  <c r="G101" i="2" a="1"/>
  <c r="G101" i="2" s="1"/>
  <c r="H101" i="2" a="1"/>
  <c r="H101" i="2" s="1"/>
  <c r="I101" i="2" a="1"/>
  <c r="I101" i="2" s="1"/>
  <c r="G102" i="2" a="1"/>
  <c r="G102" i="2" s="1"/>
  <c r="H102" i="2" a="1"/>
  <c r="H102" i="2" s="1"/>
  <c r="I102" i="2" a="1"/>
  <c r="I102" i="2" s="1"/>
  <c r="G103" i="2" a="1"/>
  <c r="G103" i="2" s="1"/>
  <c r="H103" i="2" a="1"/>
  <c r="H103" i="2" s="1"/>
  <c r="I103" i="2" a="1"/>
  <c r="I103" i="2" s="1"/>
  <c r="G104" i="2" a="1"/>
  <c r="G104" i="2" s="1"/>
  <c r="H104" i="2" a="1"/>
  <c r="H104" i="2" s="1"/>
  <c r="I104" i="2" a="1"/>
  <c r="I104" i="2" s="1"/>
  <c r="G105" i="2" a="1"/>
  <c r="G105" i="2" s="1"/>
  <c r="H105" i="2" a="1"/>
  <c r="H105" i="2" s="1"/>
  <c r="I105" i="2" a="1"/>
  <c r="I105" i="2" s="1"/>
  <c r="G106" i="2" a="1"/>
  <c r="G106" i="2" s="1"/>
  <c r="H106" i="2" a="1"/>
  <c r="H106" i="2" s="1"/>
  <c r="I106" i="2" a="1"/>
  <c r="I106" i="2" s="1"/>
  <c r="G107" i="2" a="1"/>
  <c r="G107" i="2" s="1"/>
  <c r="H107" i="2" a="1"/>
  <c r="H107" i="2" s="1"/>
  <c r="I107" i="2" a="1"/>
  <c r="I107" i="2" s="1"/>
  <c r="G108" i="2" a="1"/>
  <c r="G108" i="2" s="1"/>
  <c r="H108" i="2" a="1"/>
  <c r="H108" i="2" s="1"/>
  <c r="I108" i="2" a="1"/>
  <c r="I108" i="2" s="1"/>
  <c r="G109" i="2" a="1"/>
  <c r="G109" i="2" s="1"/>
  <c r="H109" i="2" a="1"/>
  <c r="H109" i="2" s="1"/>
  <c r="I109" i="2" a="1"/>
  <c r="I109" i="2" s="1"/>
  <c r="G110" i="2" a="1"/>
  <c r="G110" i="2" s="1"/>
  <c r="H110" i="2" a="1"/>
  <c r="H110" i="2" s="1"/>
  <c r="I110" i="2" a="1"/>
  <c r="I110" i="2" s="1"/>
  <c r="G111" i="2" a="1"/>
  <c r="G111" i="2" s="1"/>
  <c r="H111" i="2" a="1"/>
  <c r="H111" i="2" s="1"/>
  <c r="I111" i="2" a="1"/>
  <c r="I111" i="2" s="1"/>
  <c r="G112" i="2" a="1"/>
  <c r="G112" i="2" s="1"/>
  <c r="H112" i="2" a="1"/>
  <c r="H112" i="2" s="1"/>
  <c r="I112" i="2" a="1"/>
  <c r="I112" i="2" s="1"/>
  <c r="G113" i="2" a="1"/>
  <c r="G113" i="2" s="1"/>
  <c r="H113" i="2" a="1"/>
  <c r="H113" i="2" s="1"/>
  <c r="I113" i="2" a="1"/>
  <c r="I113" i="2" s="1"/>
  <c r="G114" i="2" a="1"/>
  <c r="G114" i="2"/>
  <c r="H114" i="2" a="1"/>
  <c r="H114" i="2"/>
  <c r="I114" i="2" a="1"/>
  <c r="I114" i="2"/>
  <c r="G115" i="2" a="1"/>
  <c r="G115" i="2"/>
  <c r="H115" i="2" a="1"/>
  <c r="H115" i="2"/>
  <c r="I115" i="2" a="1"/>
  <c r="I115" i="2"/>
  <c r="G116" i="2" a="1"/>
  <c r="G116" i="2"/>
  <c r="H116" i="2" a="1"/>
  <c r="H116" i="2"/>
  <c r="I116" i="2" a="1"/>
  <c r="I116" i="2"/>
  <c r="G117" i="2" a="1"/>
  <c r="G117" i="2"/>
  <c r="H117" i="2" a="1"/>
  <c r="H117" i="2"/>
  <c r="I117" i="2" a="1"/>
  <c r="I117" i="2" s="1"/>
  <c r="G118" i="2" a="1"/>
  <c r="G118" i="2" s="1"/>
  <c r="H118" i="2" a="1"/>
  <c r="H118" i="2" s="1"/>
  <c r="I118" i="2" a="1"/>
  <c r="I118" i="2" s="1"/>
  <c r="G119" i="2" a="1"/>
  <c r="G119" i="2" s="1"/>
  <c r="H119" i="2" a="1"/>
  <c r="H119" i="2" s="1"/>
  <c r="I119" i="2" a="1"/>
  <c r="I119" i="2" s="1"/>
  <c r="G120" i="2" a="1"/>
  <c r="G120" i="2" s="1"/>
  <c r="H120" i="2" a="1"/>
  <c r="H120" i="2" s="1"/>
  <c r="I120" i="2" a="1"/>
  <c r="I120" i="2" s="1"/>
  <c r="G22" i="1" a="1"/>
  <c r="H22" i="1" a="1"/>
  <c r="I22" i="1" a="1"/>
  <c r="G23" i="1" a="1"/>
  <c r="H23" i="1" a="1"/>
  <c r="I23" i="1" a="1"/>
  <c r="G24" i="1" a="1"/>
  <c r="H24" i="1" a="1"/>
  <c r="I24" i="1" a="1"/>
  <c r="G25" i="1" a="1"/>
  <c r="H25" i="1" a="1"/>
  <c r="I25" i="1" a="1"/>
  <c r="G26" i="1" a="1"/>
  <c r="H26" i="1" a="1"/>
  <c r="I26" i="1" a="1"/>
  <c r="G27" i="1" a="1"/>
  <c r="H27" i="1" a="1"/>
  <c r="I27" i="1" a="1"/>
  <c r="G28" i="1" a="1"/>
  <c r="H28" i="1" a="1"/>
  <c r="I28" i="1" a="1"/>
  <c r="G29" i="1" a="1"/>
  <c r="H29" i="1" a="1"/>
  <c r="I29" i="1" a="1"/>
  <c r="G30" i="1" a="1"/>
  <c r="H30" i="1" a="1"/>
  <c r="I30" i="1" a="1"/>
  <c r="G31" i="1" a="1"/>
  <c r="H31" i="1" a="1"/>
  <c r="I31" i="1" a="1"/>
  <c r="G32" i="1" a="1"/>
  <c r="H32" i="1" a="1"/>
  <c r="I32" i="1" a="1"/>
  <c r="G33" i="1" a="1"/>
  <c r="H33" i="1" a="1"/>
  <c r="I33" i="1" a="1"/>
  <c r="G34" i="1" a="1"/>
  <c r="H34" i="1" a="1"/>
  <c r="I34" i="1" a="1"/>
  <c r="G35" i="1" a="1"/>
  <c r="H35" i="1" a="1"/>
  <c r="I35" i="1" a="1"/>
  <c r="G36" i="1" a="1"/>
  <c r="H36" i="1" a="1"/>
  <c r="I36" i="1" a="1"/>
  <c r="G37" i="1" a="1"/>
  <c r="H37" i="1" a="1"/>
  <c r="I37" i="1" a="1"/>
  <c r="G38" i="1" a="1"/>
  <c r="H38" i="1" a="1"/>
  <c r="I38" i="1" a="1"/>
  <c r="G39" i="1" a="1"/>
  <c r="H39" i="1" a="1"/>
  <c r="I39" i="1" a="1"/>
  <c r="G40" i="1" a="1"/>
  <c r="H40" i="1" a="1"/>
  <c r="I40" i="1" a="1"/>
  <c r="G41" i="1" a="1"/>
  <c r="H41" i="1" a="1"/>
  <c r="I41" i="1" a="1"/>
  <c r="G42" i="1" a="1"/>
  <c r="H42" i="1" a="1"/>
  <c r="I42" i="1" a="1"/>
  <c r="G43" i="1" a="1"/>
  <c r="H43" i="1" a="1"/>
  <c r="I43" i="1" a="1"/>
  <c r="G44" i="1" a="1"/>
  <c r="H44" i="1" a="1"/>
  <c r="I44" i="1" a="1"/>
  <c r="G45" i="1" a="1"/>
  <c r="H45" i="1" a="1"/>
  <c r="I45" i="1" a="1"/>
  <c r="G46" i="1" a="1"/>
  <c r="H46" i="1" a="1"/>
  <c r="I46" i="1" a="1"/>
  <c r="G47" i="1" a="1"/>
  <c r="H47" i="1" a="1"/>
  <c r="I47" i="1" a="1"/>
  <c r="G48" i="1" a="1"/>
  <c r="H48" i="1" a="1"/>
  <c r="I48" i="1" a="1"/>
  <c r="G49" i="1" a="1"/>
  <c r="H49" i="1" a="1"/>
  <c r="I49" i="1" a="1"/>
  <c r="G50" i="1" a="1"/>
  <c r="H50" i="1" a="1"/>
  <c r="I50" i="1" a="1"/>
  <c r="G51" i="1" a="1"/>
  <c r="H51" i="1" a="1"/>
  <c r="I51" i="1" a="1"/>
  <c r="G52" i="1" a="1"/>
  <c r="H52" i="1" a="1"/>
  <c r="I52" i="1" a="1"/>
  <c r="G53" i="1" a="1"/>
  <c r="H53" i="1" a="1"/>
  <c r="I53" i="1" a="1"/>
  <c r="G54" i="1" a="1"/>
  <c r="H54" i="1" a="1"/>
  <c r="I54" i="1" a="1"/>
  <c r="G55" i="1" a="1"/>
  <c r="H55" i="1" a="1"/>
  <c r="I55" i="1" a="1"/>
  <c r="G56" i="1" a="1"/>
  <c r="H56" i="1" a="1"/>
  <c r="I56" i="1" a="1"/>
  <c r="G57" i="1" a="1"/>
  <c r="H57" i="1" a="1"/>
  <c r="I57" i="1" a="1"/>
  <c r="G58" i="1" a="1"/>
  <c r="H58" i="1" a="1"/>
  <c r="I58" i="1" a="1"/>
  <c r="G59" i="1" a="1"/>
  <c r="H59" i="1" a="1"/>
  <c r="I59" i="1" a="1"/>
  <c r="G60" i="1" a="1"/>
  <c r="H60" i="1" a="1"/>
  <c r="I60" i="1" a="1"/>
  <c r="G61" i="1" a="1"/>
  <c r="H61" i="1" a="1"/>
  <c r="I61" i="1" a="1"/>
  <c r="G21" i="2" a="1"/>
  <c r="H21" i="2" a="1"/>
  <c r="I21" i="2" a="1"/>
  <c r="G22" i="2" a="1"/>
  <c r="H22" i="2" a="1"/>
  <c r="I22" i="2" a="1"/>
  <c r="G23" i="2" a="1"/>
  <c r="H23" i="2" a="1"/>
  <c r="I23" i="2" a="1"/>
  <c r="G24" i="2" a="1"/>
  <c r="H24" i="2" a="1"/>
  <c r="I24" i="2" a="1"/>
  <c r="G25" i="2" a="1"/>
  <c r="H25" i="2" a="1"/>
  <c r="I25" i="2" a="1"/>
  <c r="G26" i="2" a="1"/>
  <c r="H26" i="2" a="1"/>
  <c r="I26" i="2" a="1"/>
  <c r="G27" i="2" a="1"/>
  <c r="H27" i="2" a="1"/>
  <c r="I27" i="2" a="1"/>
  <c r="G28" i="2" a="1"/>
  <c r="H28" i="2" a="1"/>
  <c r="I28" i="2" a="1"/>
  <c r="G29" i="2" a="1"/>
  <c r="H29" i="2" a="1"/>
  <c r="I29" i="2" a="1"/>
  <c r="G30" i="2" a="1"/>
  <c r="H30" i="2" a="1"/>
  <c r="I30" i="2" a="1"/>
  <c r="G31" i="2" a="1"/>
  <c r="H31" i="2" a="1"/>
  <c r="I31" i="2" a="1"/>
  <c r="G32" i="2" a="1"/>
  <c r="H32" i="2" a="1"/>
  <c r="I32" i="2" a="1"/>
  <c r="G33" i="2" a="1"/>
  <c r="H33" i="2" a="1"/>
  <c r="I33" i="2" a="1"/>
  <c r="G34" i="2" a="1"/>
  <c r="H34" i="2" a="1"/>
  <c r="I34" i="2" a="1"/>
  <c r="G35" i="2" a="1"/>
  <c r="H35" i="2" a="1"/>
  <c r="I35" i="2" a="1"/>
  <c r="G36" i="2" a="1"/>
  <c r="H36" i="2" a="1"/>
  <c r="I36" i="2" a="1"/>
  <c r="G37" i="2" a="1"/>
  <c r="H37" i="2" a="1"/>
  <c r="I37" i="2" a="1"/>
  <c r="G38" i="2" a="1"/>
  <c r="H38" i="2" a="1"/>
  <c r="I38" i="2" a="1"/>
  <c r="G39" i="2" a="1"/>
  <c r="H39" i="2" a="1"/>
  <c r="I39" i="2" a="1"/>
  <c r="G40" i="2" a="1"/>
  <c r="H40" i="2" a="1"/>
  <c r="I40" i="2" a="1"/>
  <c r="G41" i="2" a="1"/>
  <c r="H41" i="2" a="1"/>
  <c r="I41" i="2" a="1"/>
  <c r="G42" i="2" a="1"/>
  <c r="H42" i="2" a="1"/>
  <c r="I42" i="2" a="1"/>
  <c r="G43" i="2" a="1"/>
  <c r="H43" i="2" a="1"/>
  <c r="I43" i="2" a="1"/>
  <c r="G44" i="2" a="1"/>
  <c r="H44" i="2" a="1"/>
  <c r="I44" i="2" a="1"/>
  <c r="G45" i="2" a="1"/>
  <c r="H45" i="2" a="1"/>
  <c r="I45" i="2" a="1"/>
  <c r="G46" i="2" a="1"/>
  <c r="H46" i="2" a="1"/>
  <c r="I46" i="2" a="1"/>
  <c r="G47" i="2" a="1"/>
  <c r="H47" i="2" a="1"/>
  <c r="I47" i="2" a="1"/>
  <c r="G48" i="2" a="1"/>
  <c r="H48" i="2" a="1"/>
  <c r="I48" i="2" a="1"/>
  <c r="G49" i="2" a="1"/>
  <c r="H49" i="2" a="1"/>
  <c r="I49" i="2" a="1"/>
  <c r="G50" i="2" a="1"/>
  <c r="H50" i="2" a="1"/>
  <c r="I50" i="2" a="1"/>
  <c r="G51" i="2" a="1"/>
  <c r="H51" i="2" a="1"/>
  <c r="I51" i="2" a="1"/>
  <c r="G52" i="2" a="1"/>
  <c r="H52" i="2" a="1"/>
  <c r="I52" i="2" a="1"/>
  <c r="G53" i="2" a="1"/>
  <c r="H53" i="2" a="1"/>
  <c r="I53" i="2" a="1"/>
  <c r="G54" i="2" a="1"/>
  <c r="H54" i="2" a="1"/>
  <c r="I54" i="2" a="1"/>
  <c r="G55" i="2" a="1"/>
  <c r="H55" i="2" a="1"/>
  <c r="I55" i="2" a="1"/>
  <c r="G56" i="2" a="1"/>
  <c r="H56" i="2" a="1"/>
  <c r="I56" i="2" a="1"/>
  <c r="G57" i="2" a="1"/>
  <c r="H57" i="2" a="1"/>
  <c r="I57" i="2" a="1"/>
  <c r="G58" i="2" a="1"/>
  <c r="H58" i="2" a="1"/>
  <c r="I58" i="2" a="1"/>
  <c r="G59" i="2" a="1"/>
  <c r="H59" i="2" a="1"/>
  <c r="I59" i="2" a="1"/>
  <c r="G60" i="2" a="1"/>
  <c r="H60" i="2" a="1"/>
  <c r="I60" i="2" a="1"/>
  <c r="H3" i="2" a="1"/>
  <c r="H3" i="2" s="1"/>
  <c r="I3" i="2" a="1"/>
  <c r="I3" i="2" s="1"/>
  <c r="G4" i="2" a="1"/>
  <c r="G4" i="2" s="1"/>
  <c r="H4" i="2" a="1"/>
  <c r="H4" i="2" s="1"/>
  <c r="I4" i="2" a="1"/>
  <c r="I4" i="2" s="1"/>
  <c r="G5" i="2" a="1"/>
  <c r="G5" i="2" s="1"/>
  <c r="H5" i="2" a="1"/>
  <c r="H5" i="2" s="1"/>
  <c r="I5" i="2" a="1"/>
  <c r="I5" i="2" s="1"/>
  <c r="G6" i="2" a="1"/>
  <c r="G6" i="2" s="1"/>
  <c r="H6" i="2" a="1"/>
  <c r="H6" i="2" s="1"/>
  <c r="I6" i="2" a="1"/>
  <c r="I6" i="2" s="1"/>
  <c r="G7" i="2" a="1"/>
  <c r="G7" i="2" s="1"/>
  <c r="H7" i="2" a="1"/>
  <c r="H7" i="2" s="1"/>
  <c r="I7" i="2" a="1"/>
  <c r="I7" i="2" s="1"/>
  <c r="G8" i="2" a="1"/>
  <c r="G8" i="2" s="1"/>
  <c r="H8" i="2" a="1"/>
  <c r="H8" i="2" s="1"/>
  <c r="I8" i="2" a="1"/>
  <c r="I8" i="2" s="1"/>
  <c r="G9" i="2" a="1"/>
  <c r="G9" i="2" s="1"/>
  <c r="H9" i="2" a="1"/>
  <c r="H9" i="2" s="1"/>
  <c r="I9" i="2" a="1"/>
  <c r="I9" i="2" s="1"/>
  <c r="G10" i="2" a="1"/>
  <c r="G10" i="2" s="1"/>
  <c r="H10" i="2" a="1"/>
  <c r="H10" i="2" s="1"/>
  <c r="I10" i="2" a="1"/>
  <c r="I10" i="2" s="1"/>
  <c r="G11" i="2" a="1"/>
  <c r="G11" i="2" s="1"/>
  <c r="H11" i="2" a="1"/>
  <c r="H11" i="2" s="1"/>
  <c r="I11" i="2" a="1"/>
  <c r="I11" i="2" s="1"/>
  <c r="G12" i="2" a="1"/>
  <c r="G12" i="2" s="1"/>
  <c r="H12" i="2" a="1"/>
  <c r="H12" i="2" s="1"/>
  <c r="I12" i="2" a="1"/>
  <c r="I12" i="2" s="1"/>
  <c r="G13" i="2" a="1"/>
  <c r="G13" i="2" s="1"/>
  <c r="H13" i="2" a="1"/>
  <c r="H13" i="2" s="1"/>
  <c r="I13" i="2" a="1"/>
  <c r="I13" i="2" s="1"/>
  <c r="G14" i="2" a="1"/>
  <c r="G14" i="2" s="1"/>
  <c r="H14" i="2" a="1"/>
  <c r="H14" i="2" s="1"/>
  <c r="I14" i="2" a="1"/>
  <c r="I14" i="2" s="1"/>
  <c r="G15" i="2" a="1"/>
  <c r="G15" i="2" s="1"/>
  <c r="H15" i="2" a="1"/>
  <c r="H15" i="2" s="1"/>
  <c r="I15" i="2" a="1"/>
  <c r="I15" i="2" s="1"/>
  <c r="G16" i="2" a="1"/>
  <c r="G16" i="2" s="1"/>
  <c r="H16" i="2" a="1"/>
  <c r="H16" i="2" s="1"/>
  <c r="I16" i="2" a="1"/>
  <c r="I16" i="2" s="1"/>
  <c r="G17" i="2" a="1"/>
  <c r="G17" i="2" s="1"/>
  <c r="H17" i="2" a="1"/>
  <c r="H17" i="2" s="1"/>
  <c r="I17" i="2" a="1"/>
  <c r="I17" i="2" s="1"/>
  <c r="G18" i="2" a="1"/>
  <c r="G18" i="2" s="1"/>
  <c r="H18" i="2" a="1"/>
  <c r="H18" i="2" s="1"/>
  <c r="I18" i="2" a="1"/>
  <c r="I18" i="2" s="1"/>
  <c r="G19" i="2" a="1"/>
  <c r="G19" i="2" s="1"/>
  <c r="H19" i="2" a="1"/>
  <c r="H19" i="2" s="1"/>
  <c r="I19" i="2" a="1"/>
  <c r="I19" i="2" s="1"/>
  <c r="G20" i="2" a="1"/>
  <c r="G20" i="2" s="1"/>
  <c r="H20" i="2" a="1"/>
  <c r="H20" i="2" s="1"/>
  <c r="I20" i="2" a="1"/>
  <c r="I20" i="2" s="1"/>
  <c r="H2" i="1" a="1"/>
  <c r="I2" i="1" a="1"/>
  <c r="H3" i="1" a="1"/>
  <c r="H3" i="1" s="1"/>
  <c r="I3" i="1" a="1"/>
  <c r="I3" i="1" s="1"/>
  <c r="H4" i="1" a="1"/>
  <c r="H4" i="1" s="1"/>
  <c r="I4" i="1" a="1"/>
  <c r="I4" i="1" s="1"/>
  <c r="H5" i="1" a="1"/>
  <c r="H5" i="1" s="1"/>
  <c r="I5" i="1" a="1"/>
  <c r="I5" i="1" s="1"/>
  <c r="H6" i="1" a="1"/>
  <c r="H6" i="1" s="1"/>
  <c r="I6" i="1" a="1"/>
  <c r="I6" i="1" s="1"/>
  <c r="H7" i="1" a="1"/>
  <c r="H7" i="1" s="1"/>
  <c r="I7" i="1" a="1"/>
  <c r="I7" i="1" s="1"/>
  <c r="H8" i="1" a="1"/>
  <c r="H8" i="1" s="1"/>
  <c r="I8" i="1" a="1"/>
  <c r="I8" i="1" s="1"/>
  <c r="H9" i="1" a="1"/>
  <c r="H9" i="1" s="1"/>
  <c r="I9" i="1" a="1"/>
  <c r="I9" i="1" s="1"/>
  <c r="H10" i="1" a="1"/>
  <c r="H10" i="1" s="1"/>
  <c r="I10" i="1" a="1"/>
  <c r="I10" i="1" s="1"/>
  <c r="H11" i="1" a="1"/>
  <c r="H11" i="1" s="1"/>
  <c r="I11" i="1" a="1"/>
  <c r="I11" i="1" s="1"/>
  <c r="H12" i="1" a="1"/>
  <c r="H12" i="1" s="1"/>
  <c r="I12" i="1" a="1"/>
  <c r="I12" i="1" s="1"/>
  <c r="H13" i="1" a="1"/>
  <c r="H13" i="1" s="1"/>
  <c r="I13" i="1" a="1"/>
  <c r="I13" i="1" s="1"/>
  <c r="H14" i="1" a="1"/>
  <c r="H14" i="1" s="1"/>
  <c r="I14" i="1" a="1"/>
  <c r="I14" i="1" s="1"/>
  <c r="H15" i="1" a="1"/>
  <c r="H15" i="1" s="1"/>
  <c r="I15" i="1" a="1"/>
  <c r="I15" i="1" s="1"/>
  <c r="H16" i="1" a="1"/>
  <c r="H16" i="1" s="1"/>
  <c r="I16" i="1" a="1"/>
  <c r="I16" i="1" s="1"/>
  <c r="H17" i="1" a="1"/>
  <c r="H17" i="1" s="1"/>
  <c r="I17" i="1" a="1"/>
  <c r="I17" i="1" s="1"/>
  <c r="H18" i="1" a="1"/>
  <c r="H18" i="1" s="1"/>
  <c r="I18" i="1" a="1"/>
  <c r="I18" i="1" s="1"/>
  <c r="H19" i="1" a="1"/>
  <c r="H19" i="1" s="1"/>
  <c r="I19" i="1" a="1"/>
  <c r="I19" i="1" s="1"/>
  <c r="H20" i="1" a="1"/>
  <c r="H20" i="1" s="1"/>
  <c r="I20" i="1" a="1"/>
  <c r="I20" i="1" s="1"/>
  <c r="H21" i="1" a="1"/>
  <c r="I21" i="1" a="1"/>
  <c r="G2" i="1" a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A62" i="3" l="1" a="1"/>
  <c r="A62" i="3" s="1"/>
  <c r="A2" i="3"/>
  <c r="G22" i="1"/>
  <c r="G24" i="1"/>
  <c r="G25" i="1"/>
  <c r="I25" i="1"/>
  <c r="H26" i="1"/>
  <c r="G27" i="1"/>
  <c r="G28" i="1"/>
  <c r="I28" i="1"/>
  <c r="I29" i="1"/>
  <c r="G30" i="1"/>
  <c r="I30" i="1"/>
  <c r="H31" i="1"/>
  <c r="I31" i="1"/>
  <c r="I32" i="1"/>
  <c r="G33" i="1"/>
  <c r="G34" i="1"/>
  <c r="G35" i="1"/>
  <c r="G36" i="1"/>
  <c r="I36" i="1"/>
  <c r="G38" i="1"/>
  <c r="I38" i="1"/>
  <c r="H39" i="1"/>
  <c r="H40" i="1"/>
  <c r="H41" i="1"/>
  <c r="H42" i="1"/>
  <c r="G43" i="1"/>
  <c r="H44" i="1"/>
  <c r="H45" i="1"/>
  <c r="G46" i="1"/>
  <c r="H46" i="1"/>
  <c r="I55" i="1"/>
  <c r="I56" i="1"/>
  <c r="G58" i="1"/>
  <c r="H59" i="1"/>
  <c r="H60" i="1"/>
  <c r="G61" i="1"/>
  <c r="H34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6" i="1"/>
  <c r="H57" i="1"/>
  <c r="I58" i="1"/>
  <c r="I60" i="1"/>
  <c r="G59" i="1"/>
  <c r="H22" i="1"/>
  <c r="H24" i="1"/>
  <c r="H25" i="1"/>
  <c r="H27" i="1"/>
  <c r="G29" i="1"/>
  <c r="H30" i="1"/>
  <c r="G31" i="1"/>
  <c r="H32" i="1"/>
  <c r="I33" i="1"/>
  <c r="I35" i="1"/>
  <c r="H37" i="1"/>
  <c r="H38" i="1"/>
  <c r="G40" i="1"/>
  <c r="I41" i="1"/>
  <c r="I42" i="1"/>
  <c r="I43" i="1"/>
  <c r="I44" i="1"/>
  <c r="H55" i="1"/>
  <c r="G57" i="1"/>
  <c r="I59" i="1"/>
  <c r="I61" i="1"/>
  <c r="G23" i="1"/>
  <c r="H23" i="1"/>
  <c r="I22" i="1"/>
  <c r="I23" i="1"/>
  <c r="I24" i="1"/>
  <c r="G26" i="1"/>
  <c r="I26" i="1"/>
  <c r="I27" i="1"/>
  <c r="H28" i="1"/>
  <c r="H29" i="1"/>
  <c r="G32" i="1"/>
  <c r="H33" i="1"/>
  <c r="I34" i="1"/>
  <c r="H35" i="1"/>
  <c r="H36" i="1"/>
  <c r="G37" i="1"/>
  <c r="I37" i="1"/>
  <c r="G39" i="1"/>
  <c r="I39" i="1"/>
  <c r="I40" i="1"/>
  <c r="G41" i="1"/>
  <c r="G42" i="1"/>
  <c r="H43" i="1"/>
  <c r="G44" i="1"/>
  <c r="G45" i="1"/>
  <c r="I45" i="1"/>
  <c r="G55" i="1"/>
  <c r="H56" i="1"/>
  <c r="I57" i="1"/>
  <c r="H58" i="1"/>
  <c r="G60" i="1"/>
  <c r="H61" i="1"/>
  <c r="G21" i="1"/>
  <c r="I21" i="1"/>
  <c r="H21" i="1"/>
  <c r="H2" i="1"/>
  <c r="I2" i="1"/>
  <c r="G2" i="1"/>
  <c r="G60" i="2"/>
  <c r="H60" i="2"/>
  <c r="I60" i="2"/>
  <c r="G21" i="2"/>
  <c r="H22" i="2"/>
  <c r="H23" i="2"/>
  <c r="H24" i="2"/>
  <c r="I25" i="2"/>
  <c r="I26" i="2"/>
  <c r="G28" i="2"/>
  <c r="I28" i="2"/>
  <c r="I30" i="2"/>
  <c r="G32" i="2"/>
  <c r="I36" i="2"/>
  <c r="H38" i="2"/>
  <c r="G40" i="2"/>
  <c r="I41" i="2"/>
  <c r="H43" i="2"/>
  <c r="I50" i="2"/>
  <c r="G53" i="2"/>
  <c r="H55" i="2"/>
  <c r="I32" i="2"/>
  <c r="G33" i="2"/>
  <c r="H33" i="2"/>
  <c r="I33" i="2"/>
  <c r="G34" i="2"/>
  <c r="H34" i="2"/>
  <c r="I34" i="2"/>
  <c r="G35" i="2"/>
  <c r="H35" i="2"/>
  <c r="G36" i="2"/>
  <c r="G38" i="2"/>
  <c r="I39" i="2"/>
  <c r="H41" i="2"/>
  <c r="I42" i="2"/>
  <c r="H49" i="2"/>
  <c r="I51" i="2"/>
  <c r="H54" i="2"/>
  <c r="H44" i="2"/>
  <c r="I44" i="2"/>
  <c r="G45" i="2"/>
  <c r="H45" i="2"/>
  <c r="I45" i="2"/>
  <c r="G46" i="2"/>
  <c r="H46" i="2"/>
  <c r="I46" i="2"/>
  <c r="G47" i="2"/>
  <c r="H47" i="2"/>
  <c r="I47" i="2"/>
  <c r="G48" i="2"/>
  <c r="H48" i="2"/>
  <c r="I48" i="2"/>
  <c r="G49" i="2"/>
  <c r="G50" i="2"/>
  <c r="I52" i="2"/>
  <c r="G55" i="2"/>
  <c r="I55" i="2"/>
  <c r="G56" i="2"/>
  <c r="H56" i="2"/>
  <c r="I56" i="2"/>
  <c r="G57" i="2"/>
  <c r="H57" i="2"/>
  <c r="I57" i="2"/>
  <c r="G58" i="2"/>
  <c r="H58" i="2"/>
  <c r="I58" i="2"/>
  <c r="G59" i="2"/>
  <c r="H59" i="2"/>
  <c r="I59" i="2"/>
  <c r="G42" i="2"/>
  <c r="G44" i="2"/>
  <c r="G51" i="2"/>
  <c r="H53" i="2"/>
  <c r="H21" i="2"/>
  <c r="G22" i="2"/>
  <c r="G23" i="2"/>
  <c r="G24" i="2"/>
  <c r="H25" i="2"/>
  <c r="H26" i="2"/>
  <c r="I27" i="2"/>
  <c r="H29" i="2"/>
  <c r="G30" i="2"/>
  <c r="H31" i="2"/>
  <c r="I35" i="2"/>
  <c r="H37" i="2"/>
  <c r="G39" i="2"/>
  <c r="I40" i="2"/>
  <c r="G43" i="2"/>
  <c r="H50" i="2"/>
  <c r="H52" i="2"/>
  <c r="I54" i="2"/>
  <c r="G25" i="2"/>
  <c r="H27" i="2"/>
  <c r="G29" i="2"/>
  <c r="H30" i="2"/>
  <c r="I31" i="2"/>
  <c r="H36" i="2"/>
  <c r="I37" i="2"/>
  <c r="H39" i="2"/>
  <c r="G41" i="2"/>
  <c r="H42" i="2"/>
  <c r="I49" i="2"/>
  <c r="G52" i="2"/>
  <c r="G54" i="2"/>
  <c r="I21" i="2"/>
  <c r="I22" i="2"/>
  <c r="I23" i="2"/>
  <c r="I24" i="2"/>
  <c r="G26" i="2"/>
  <c r="G27" i="2"/>
  <c r="H28" i="2"/>
  <c r="I29" i="2"/>
  <c r="G31" i="2"/>
  <c r="H32" i="2"/>
  <c r="G37" i="2"/>
  <c r="I38" i="2"/>
  <c r="H40" i="2"/>
  <c r="I43" i="2"/>
  <c r="H51" i="2"/>
  <c r="I5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<sst xmlns="http://schemas.openxmlformats.org/spreadsheetml/2006/main" count="19" uniqueCount="6">
  <si>
    <t>X</t>
  </si>
  <si>
    <t>Y</t>
  </si>
  <si>
    <t>Z</t>
  </si>
  <si>
    <t>Idx</t>
  </si>
  <si>
    <t>Squalodon_sp-NMVP197773_L79_simplified(194009)_repaired_V1_aligned_base60</t>
  </si>
  <si>
    <t>Squalodon_sp-NMVP197773_L79_simplified(194009)_repaired_V1_aligned_arch119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</si>
</sst>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</font>
    <font>
      <b/>
      <i/>
      <sz val="11"/>
      <color theme="1"/>
      <name val="Calibri"/>
      <family val="2"/>
    </font>
    <font>
      <b/>
      <i/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18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FF4901"/>
        <bgColor indexed="64"/>
      </patternFill>
    </fill>
    <fill>
      <patternFill patternType="solid">
        <fgColor rgb="FFFF9601"/>
        <bgColor indexed="64"/>
      </patternFill>
    </fill>
    <fill>
      <patternFill patternType="solid">
        <fgColor rgb="FF01B4FF"/>
        <bgColor indexed="64"/>
      </patternFill>
    </fill>
    <fill>
      <patternFill patternType="solid">
        <fgColor rgb="FF01FFC0"/>
        <bgColor indexed="64"/>
      </patternFill>
    </fill>
    <fill>
      <patternFill patternType="solid">
        <fgColor rgb="FF01F0FF"/>
        <bgColor indexed="64"/>
      </patternFill>
    </fill>
    <fill>
      <patternFill patternType="solid">
        <fgColor rgb="FFFF3D01"/>
        <bgColor indexed="64"/>
      </patternFill>
    </fill>
    <fill>
      <patternFill patternType="solid">
        <fgColor rgb="FFFF7901"/>
        <bgColor indexed="64"/>
      </patternFill>
    </fill>
    <fill>
      <patternFill patternType="solid">
        <fgColor rgb="FFFFB401"/>
        <bgColor indexed="64"/>
      </patternFill>
    </fill>
    <fill>
      <patternFill patternType="solid">
        <fgColor rgb="FFFFF001"/>
        <bgColor indexed="64"/>
      </patternFill>
    </fill>
    <fill>
      <patternFill patternType="solid">
        <fgColor rgb="FFD2FF01"/>
        <bgColor indexed="64"/>
      </patternFill>
    </fill>
    <fill>
      <patternFill patternType="solid">
        <fgColor rgb="FF96FF01"/>
        <bgColor indexed="64"/>
      </patternFill>
    </fill>
    <fill>
      <patternFill patternType="solid">
        <fgColor rgb="FF5BFF01"/>
        <bgColor indexed="64"/>
      </patternFill>
    </fill>
    <fill>
      <patternFill patternType="solid">
        <fgColor rgb="FF1FFF01"/>
        <bgColor indexed="64"/>
      </patternFill>
    </fill>
    <fill>
      <patternFill patternType="solid">
        <fgColor rgb="FF01FF1F"/>
        <bgColor indexed="64"/>
      </patternFill>
    </fill>
    <fill>
      <patternFill patternType="solid">
        <fgColor rgb="FF01FF5B"/>
        <bgColor indexed="64"/>
      </patternFill>
    </fill>
    <fill>
      <patternFill patternType="solid">
        <fgColor rgb="FF01FF96"/>
        <bgColor indexed="64"/>
      </patternFill>
    </fill>
    <fill>
      <patternFill patternType="solid">
        <fgColor rgb="FF01FFD2"/>
        <bgColor indexed="64"/>
      </patternFill>
    </fill>
    <fill>
      <patternFill patternType="solid">
        <fgColor rgb="FF0179FF"/>
        <bgColor indexed="64"/>
      </patternFill>
    </fill>
    <fill>
      <patternFill patternType="solid">
        <fgColor rgb="FF013DFF"/>
        <bgColor indexed="64"/>
      </patternFill>
    </fill>
    <fill>
      <patternFill patternType="solid">
        <fgColor rgb="FF0101FF"/>
        <bgColor indexed="64"/>
      </patternFill>
    </fill>
    <fill>
      <patternFill patternType="solid">
        <fgColor rgb="FFFFDE01"/>
        <bgColor indexed="64"/>
      </patternFill>
    </fill>
    <fill>
      <patternFill patternType="solid">
        <fgColor rgb="FFB4FF01"/>
        <bgColor indexed="64"/>
      </patternFill>
    </fill>
    <fill>
      <patternFill patternType="solid">
        <fgColor rgb="FF8AFF01"/>
        <bgColor indexed="64"/>
      </patternFill>
    </fill>
    <fill>
      <patternFill patternType="solid">
        <fgColor rgb="FF01FF2B"/>
        <bgColor indexed="64"/>
      </patternFill>
    </fill>
    <fill>
      <patternFill patternType="solid">
        <fgColor rgb="FF01FF79"/>
        <bgColor indexed="64"/>
      </patternFill>
    </fill>
    <fill>
      <patternFill patternType="solid">
        <fgColor rgb="FF01D2FF"/>
        <bgColor indexed="64"/>
      </patternFill>
    </fill>
    <fill>
      <patternFill patternType="solid">
        <fgColor rgb="FF01A8FF"/>
        <bgColor indexed="64"/>
      </patternFill>
    </fill>
    <fill>
      <patternFill patternType="solid">
        <fgColor rgb="FF0D01FF"/>
        <bgColor indexed="64"/>
      </patternFill>
    </fill>
    <fill>
      <patternFill patternType="solid">
        <fgColor rgb="FFFF0D01"/>
        <bgColor indexed="64"/>
      </patternFill>
    </fill>
    <fill>
      <patternFill patternType="solid">
        <fgColor rgb="FFFF1F01"/>
        <bgColor indexed="64"/>
      </patternFill>
    </fill>
    <fill>
      <patternFill patternType="solid">
        <fgColor rgb="FFFF2B01"/>
        <bgColor indexed="64"/>
      </patternFill>
    </fill>
    <fill>
      <patternFill patternType="solid">
        <fgColor rgb="FFFF5B01"/>
        <bgColor indexed="64"/>
      </patternFill>
    </fill>
    <fill>
      <patternFill patternType="solid">
        <fgColor rgb="FFFF6701"/>
        <bgColor indexed="64"/>
      </patternFill>
    </fill>
    <fill>
      <patternFill patternType="solid">
        <fgColor rgb="FFFF8401"/>
        <bgColor indexed="64"/>
      </patternFill>
    </fill>
    <fill>
      <patternFill patternType="solid">
        <fgColor rgb="FFFFA201"/>
        <bgColor indexed="64"/>
      </patternFill>
    </fill>
    <fill>
      <patternFill patternType="solid">
        <fgColor rgb="FFFFC001"/>
        <bgColor indexed="64"/>
      </patternFill>
    </fill>
    <fill>
      <patternFill patternType="solid">
        <fgColor rgb="FFFFD201"/>
        <bgColor indexed="64"/>
      </patternFill>
    </fill>
    <fill>
      <patternFill patternType="solid">
        <fgColor rgb="FFFFFC01"/>
        <bgColor indexed="64"/>
      </patternFill>
    </fill>
    <fill>
      <patternFill patternType="solid">
        <fgColor rgb="FFF0FF01"/>
        <bgColor indexed="64"/>
      </patternFill>
    </fill>
    <fill>
      <patternFill patternType="solid">
        <fgColor rgb="FFE4FF01"/>
        <bgColor indexed="64"/>
      </patternFill>
    </fill>
    <fill>
      <patternFill patternType="solid">
        <fgColor rgb="FFC6FF01"/>
        <bgColor indexed="64"/>
      </patternFill>
    </fill>
    <fill>
      <patternFill patternType="solid">
        <fgColor rgb="FFA8FF01"/>
        <bgColor indexed="64"/>
      </patternFill>
    </fill>
    <fill>
      <patternFill patternType="solid">
        <fgColor rgb="FF79FF01"/>
        <bgColor indexed="64"/>
      </patternFill>
    </fill>
    <fill>
      <patternFill patternType="solid">
        <fgColor rgb="FF6DFF01"/>
        <bgColor indexed="64"/>
      </patternFill>
    </fill>
    <fill>
      <patternFill patternType="solid">
        <fgColor rgb="FF4FFF01"/>
        <bgColor indexed="64"/>
      </patternFill>
    </fill>
    <fill>
      <patternFill patternType="solid">
        <fgColor rgb="FF3DFF01"/>
        <bgColor indexed="64"/>
      </patternFill>
    </fill>
    <fill>
      <patternFill patternType="solid">
        <fgColor rgb="FF31FF01"/>
        <bgColor indexed="64"/>
      </patternFill>
    </fill>
    <fill>
      <patternFill patternType="solid">
        <fgColor rgb="FF13FF01"/>
        <bgColor indexed="64"/>
      </patternFill>
    </fill>
    <fill>
      <patternFill patternType="solid">
        <fgColor rgb="FF01FF01"/>
        <bgColor indexed="64"/>
      </patternFill>
    </fill>
    <fill>
      <patternFill patternType="solid">
        <fgColor rgb="FF01FF0D"/>
        <bgColor indexed="64"/>
      </patternFill>
    </fill>
    <fill>
      <patternFill patternType="solid">
        <fgColor rgb="FF01FF3D"/>
        <bgColor indexed="64"/>
      </patternFill>
    </fill>
    <fill>
      <patternFill patternType="solid">
        <fgColor rgb="FF01FF49"/>
        <bgColor indexed="64"/>
      </patternFill>
    </fill>
    <fill>
      <patternFill patternType="solid">
        <fgColor rgb="FF01FF67"/>
        <bgColor indexed="64"/>
      </patternFill>
    </fill>
    <fill>
      <patternFill patternType="solid">
        <fgColor rgb="FF01FF84"/>
        <bgColor indexed="64"/>
      </patternFill>
    </fill>
    <fill>
      <patternFill patternType="solid">
        <fgColor rgb="FF01FFA2"/>
        <bgColor indexed="64"/>
      </patternFill>
    </fill>
    <fill>
      <patternFill patternType="solid">
        <fgColor rgb="FF01FFB4"/>
        <bgColor indexed="64"/>
      </patternFill>
    </fill>
    <fill>
      <patternFill patternType="solid">
        <fgColor rgb="FF01FFDE"/>
        <bgColor indexed="64"/>
      </patternFill>
    </fill>
    <fill>
      <patternFill patternType="solid">
        <fgColor rgb="FF01FFF0"/>
        <bgColor indexed="64"/>
      </patternFill>
    </fill>
    <fill>
      <patternFill patternType="solid">
        <fgColor rgb="FF01FFFC"/>
        <bgColor indexed="64"/>
      </patternFill>
    </fill>
    <fill>
      <patternFill patternType="solid">
        <fgColor rgb="FF01E4FF"/>
        <bgColor indexed="64"/>
      </patternFill>
    </fill>
    <fill>
      <patternFill patternType="solid">
        <fgColor rgb="FF01C6FF"/>
        <bgColor indexed="64"/>
      </patternFill>
    </fill>
    <fill>
      <patternFill patternType="solid">
        <fgColor rgb="FF0196FF"/>
        <bgColor indexed="64"/>
      </patternFill>
    </fill>
    <fill>
      <patternFill patternType="solid">
        <fgColor rgb="FF018AFF"/>
        <bgColor indexed="64"/>
      </patternFill>
    </fill>
    <fill>
      <patternFill patternType="solid">
        <fgColor rgb="FF016DFF"/>
        <bgColor indexed="64"/>
      </patternFill>
    </fill>
    <fill>
      <patternFill patternType="solid">
        <fgColor rgb="FF015BFF"/>
        <bgColor indexed="64"/>
      </patternFill>
    </fill>
    <fill>
      <patternFill patternType="solid">
        <fgColor rgb="FF014FFF"/>
        <bgColor indexed="64"/>
      </patternFill>
    </fill>
    <fill>
      <patternFill patternType="solid">
        <fgColor rgb="FF0131FF"/>
        <bgColor indexed="64"/>
      </patternFill>
    </fill>
    <fill>
      <patternFill patternType="solid">
        <fgColor rgb="FF011FFF"/>
        <bgColor indexed="64"/>
      </patternFill>
    </fill>
    <fill>
      <patternFill patternType="solid">
        <fgColor rgb="FF0113FF"/>
        <bgColor indexed="64"/>
      </patternFill>
    </fill>
    <fill>
      <patternFill patternType="solid">
        <fgColor rgb="FF1F01FF"/>
        <bgColor indexed="64"/>
      </patternFill>
    </fill>
    <fill>
      <patternFill patternType="solid">
        <fgColor rgb="FF2B01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701"/>
        <bgColor indexed="64"/>
      </patternFill>
    </fill>
    <fill>
      <patternFill patternType="solid">
        <fgColor rgb="FFFF1301"/>
        <bgColor indexed="64"/>
      </patternFill>
    </fill>
    <fill>
      <patternFill patternType="solid">
        <fgColor rgb="FFFF1901"/>
        <bgColor indexed="64"/>
      </patternFill>
    </fill>
    <fill>
      <patternFill patternType="solid">
        <fgColor rgb="FFFF2501"/>
        <bgColor indexed="64"/>
      </patternFill>
    </fill>
    <fill>
      <patternFill patternType="solid">
        <fgColor rgb="FFFF3101"/>
        <bgColor indexed="64"/>
      </patternFill>
    </fill>
    <fill>
      <patternFill patternType="solid">
        <fgColor rgb="FFFF3701"/>
        <bgColor indexed="64"/>
      </patternFill>
    </fill>
    <fill>
      <patternFill patternType="solid">
        <fgColor rgb="FFFF4301"/>
        <bgColor indexed="64"/>
      </patternFill>
    </fill>
    <fill>
      <patternFill patternType="solid">
        <fgColor rgb="FFFF4F01"/>
        <bgColor indexed="64"/>
      </patternFill>
    </fill>
    <fill>
      <patternFill patternType="solid">
        <fgColor rgb="FFFF5501"/>
        <bgColor indexed="64"/>
      </patternFill>
    </fill>
    <fill>
      <patternFill patternType="solid">
        <fgColor rgb="FFFF6101"/>
        <bgColor indexed="64"/>
      </patternFill>
    </fill>
    <fill>
      <patternFill patternType="solid">
        <fgColor rgb="FFFF6D01"/>
        <bgColor indexed="64"/>
      </patternFill>
    </fill>
    <fill>
      <patternFill patternType="solid">
        <fgColor rgb="FFFF7301"/>
        <bgColor indexed="64"/>
      </patternFill>
    </fill>
    <fill>
      <patternFill patternType="solid">
        <fgColor rgb="FFFF7F01"/>
        <bgColor indexed="64"/>
      </patternFill>
    </fill>
    <fill>
      <patternFill patternType="solid">
        <fgColor rgb="FFFF8A01"/>
        <bgColor indexed="64"/>
      </patternFill>
    </fill>
    <fill>
      <patternFill patternType="solid">
        <fgColor rgb="FFFF9001"/>
        <bgColor indexed="64"/>
      </patternFill>
    </fill>
    <fill>
      <patternFill patternType="solid">
        <fgColor rgb="FFFF9C01"/>
        <bgColor indexed="64"/>
      </patternFill>
    </fill>
    <fill>
      <patternFill patternType="solid">
        <fgColor rgb="FFFFA801"/>
        <bgColor indexed="64"/>
      </patternFill>
    </fill>
    <fill>
      <patternFill patternType="solid">
        <fgColor rgb="FFFFAE01"/>
        <bgColor indexed="64"/>
      </patternFill>
    </fill>
    <fill>
      <patternFill patternType="solid">
        <fgColor rgb="FFFFBA01"/>
        <bgColor indexed="64"/>
      </patternFill>
    </fill>
    <fill>
      <patternFill patternType="solid">
        <fgColor rgb="FFFFC601"/>
        <bgColor indexed="64"/>
      </patternFill>
    </fill>
    <fill>
      <patternFill patternType="solid">
        <fgColor rgb="FFFFCC01"/>
        <bgColor indexed="64"/>
      </patternFill>
    </fill>
    <fill>
      <patternFill patternType="solid">
        <fgColor rgb="FFFFD801"/>
        <bgColor indexed="64"/>
      </patternFill>
    </fill>
    <fill>
      <patternFill patternType="solid">
        <fgColor rgb="FFFFE401"/>
        <bgColor indexed="64"/>
      </patternFill>
    </fill>
    <fill>
      <patternFill patternType="solid">
        <fgColor rgb="FFFFEA01"/>
        <bgColor indexed="64"/>
      </patternFill>
    </fill>
    <fill>
      <patternFill patternType="solid">
        <fgColor rgb="FFFFF601"/>
        <bgColor indexed="64"/>
      </patternFill>
    </fill>
    <fill>
      <patternFill patternType="solid">
        <fgColor rgb="FFFCFF01"/>
        <bgColor indexed="64"/>
      </patternFill>
    </fill>
    <fill>
      <patternFill patternType="solid">
        <fgColor rgb="FFF6FF01"/>
        <bgColor indexed="64"/>
      </patternFill>
    </fill>
    <fill>
      <patternFill patternType="solid">
        <fgColor rgb="FFEAFF01"/>
        <bgColor indexed="64"/>
      </patternFill>
    </fill>
    <fill>
      <patternFill patternType="solid">
        <fgColor rgb="FFDEFF01"/>
        <bgColor indexed="64"/>
      </patternFill>
    </fill>
    <fill>
      <patternFill patternType="solid">
        <fgColor rgb="FFD8FF01"/>
        <bgColor indexed="64"/>
      </patternFill>
    </fill>
    <fill>
      <patternFill patternType="solid">
        <fgColor rgb="FFCCFF01"/>
        <bgColor indexed="64"/>
      </patternFill>
    </fill>
    <fill>
      <patternFill patternType="solid">
        <fgColor rgb="FFC0FF01"/>
        <bgColor indexed="64"/>
      </patternFill>
    </fill>
    <fill>
      <patternFill patternType="solid">
        <fgColor rgb="FFBAFF01"/>
        <bgColor indexed="64"/>
      </patternFill>
    </fill>
    <fill>
      <patternFill patternType="solid">
        <fgColor rgb="FFAEFF01"/>
        <bgColor indexed="64"/>
      </patternFill>
    </fill>
    <fill>
      <patternFill patternType="solid">
        <fgColor rgb="FFA2FF01"/>
        <bgColor indexed="64"/>
      </patternFill>
    </fill>
    <fill>
      <patternFill patternType="solid">
        <fgColor rgb="FF9CFF01"/>
        <bgColor indexed="64"/>
      </patternFill>
    </fill>
    <fill>
      <patternFill patternType="solid">
        <fgColor rgb="FF90FF01"/>
        <bgColor indexed="64"/>
      </patternFill>
    </fill>
    <fill>
      <patternFill patternType="solid">
        <fgColor rgb="FF84FF01"/>
        <bgColor indexed="64"/>
      </patternFill>
    </fill>
    <fill>
      <patternFill patternType="solid">
        <fgColor rgb="FF7FFF01"/>
        <bgColor indexed="64"/>
      </patternFill>
    </fill>
    <fill>
      <patternFill patternType="solid">
        <fgColor rgb="FF73FF01"/>
        <bgColor indexed="64"/>
      </patternFill>
    </fill>
    <fill>
      <patternFill patternType="solid">
        <fgColor rgb="FF67FF01"/>
        <bgColor indexed="64"/>
      </patternFill>
    </fill>
    <fill>
      <patternFill patternType="solid">
        <fgColor rgb="FF61FF01"/>
        <bgColor indexed="64"/>
      </patternFill>
    </fill>
    <fill>
      <patternFill patternType="solid">
        <fgColor rgb="FF55FF01"/>
        <bgColor indexed="64"/>
      </patternFill>
    </fill>
    <fill>
      <patternFill patternType="solid">
        <fgColor rgb="FF49FF01"/>
        <bgColor indexed="64"/>
      </patternFill>
    </fill>
    <fill>
      <patternFill patternType="solid">
        <fgColor rgb="FF43FF01"/>
        <bgColor indexed="64"/>
      </patternFill>
    </fill>
    <fill>
      <patternFill patternType="solid">
        <fgColor rgb="FF37FF01"/>
        <bgColor indexed="64"/>
      </patternFill>
    </fill>
    <fill>
      <patternFill patternType="solid">
        <fgColor rgb="FF2BFF01"/>
        <bgColor indexed="64"/>
      </patternFill>
    </fill>
    <fill>
      <patternFill patternType="solid">
        <fgColor rgb="FF25FF01"/>
        <bgColor indexed="64"/>
      </patternFill>
    </fill>
    <fill>
      <patternFill patternType="solid">
        <fgColor rgb="FF19FF01"/>
        <bgColor indexed="64"/>
      </patternFill>
    </fill>
    <fill>
      <patternFill patternType="solid">
        <fgColor rgb="FF0DFF01"/>
        <bgColor indexed="64"/>
      </patternFill>
    </fill>
    <fill>
      <patternFill patternType="solid">
        <fgColor rgb="FF07FF01"/>
        <bgColor indexed="64"/>
      </patternFill>
    </fill>
    <fill>
      <patternFill patternType="solid">
        <fgColor rgb="FF01FF07"/>
        <bgColor indexed="64"/>
      </patternFill>
    </fill>
    <fill>
      <patternFill patternType="solid">
        <fgColor rgb="FF01FF13"/>
        <bgColor indexed="64"/>
      </patternFill>
    </fill>
    <fill>
      <patternFill patternType="solid">
        <fgColor rgb="FF01FF19"/>
        <bgColor indexed="64"/>
      </patternFill>
    </fill>
    <fill>
      <patternFill patternType="solid">
        <fgColor rgb="FF01FF25"/>
        <bgColor indexed="64"/>
      </patternFill>
    </fill>
    <fill>
      <patternFill patternType="solid">
        <fgColor rgb="FF01FF31"/>
        <bgColor indexed="64"/>
      </patternFill>
    </fill>
    <fill>
      <patternFill patternType="solid">
        <fgColor rgb="FF01FF37"/>
        <bgColor indexed="64"/>
      </patternFill>
    </fill>
    <fill>
      <patternFill patternType="solid">
        <fgColor rgb="FF01FF43"/>
        <bgColor indexed="64"/>
      </patternFill>
    </fill>
    <fill>
      <patternFill patternType="solid">
        <fgColor rgb="FF01FF4F"/>
        <bgColor indexed="64"/>
      </patternFill>
    </fill>
    <fill>
      <patternFill patternType="solid">
        <fgColor rgb="FF01FF55"/>
        <bgColor indexed="64"/>
      </patternFill>
    </fill>
    <fill>
      <patternFill patternType="solid">
        <fgColor rgb="FF01FF61"/>
        <bgColor indexed="64"/>
      </patternFill>
    </fill>
    <fill>
      <patternFill patternType="solid">
        <fgColor rgb="FF01FF6D"/>
        <bgColor indexed="64"/>
      </patternFill>
    </fill>
    <fill>
      <patternFill patternType="solid">
        <fgColor rgb="FF01FF73"/>
        <bgColor indexed="64"/>
      </patternFill>
    </fill>
    <fill>
      <patternFill patternType="solid">
        <fgColor rgb="FF01FF7F"/>
        <bgColor indexed="64"/>
      </patternFill>
    </fill>
    <fill>
      <patternFill patternType="solid">
        <fgColor rgb="FF01FF8A"/>
        <bgColor indexed="64"/>
      </patternFill>
    </fill>
    <fill>
      <patternFill patternType="solid">
        <fgColor rgb="FF01FF90"/>
        <bgColor indexed="64"/>
      </patternFill>
    </fill>
    <fill>
      <patternFill patternType="solid">
        <fgColor rgb="FF01FF9C"/>
        <bgColor indexed="64"/>
      </patternFill>
    </fill>
    <fill>
      <patternFill patternType="solid">
        <fgColor rgb="FF01FFA8"/>
        <bgColor indexed="64"/>
      </patternFill>
    </fill>
    <fill>
      <patternFill patternType="solid">
        <fgColor rgb="FF01FFAE"/>
        <bgColor indexed="64"/>
      </patternFill>
    </fill>
    <fill>
      <patternFill patternType="solid">
        <fgColor rgb="FF01FFBA"/>
        <bgColor indexed="64"/>
      </patternFill>
    </fill>
    <fill>
      <patternFill patternType="solid">
        <fgColor rgb="FF01FFC6"/>
        <bgColor indexed="64"/>
      </patternFill>
    </fill>
    <fill>
      <patternFill patternType="solid">
        <fgColor rgb="FF01FFCC"/>
        <bgColor indexed="64"/>
      </patternFill>
    </fill>
    <fill>
      <patternFill patternType="solid">
        <fgColor rgb="FF01FFD8"/>
        <bgColor indexed="64"/>
      </patternFill>
    </fill>
    <fill>
      <patternFill patternType="solid">
        <fgColor rgb="FF01FFE4"/>
        <bgColor indexed="64"/>
      </patternFill>
    </fill>
    <fill>
      <patternFill patternType="solid">
        <fgColor rgb="FF01FFEA"/>
        <bgColor indexed="64"/>
      </patternFill>
    </fill>
    <fill>
      <patternFill patternType="solid">
        <fgColor rgb="FF01FFF6"/>
        <bgColor indexed="64"/>
      </patternFill>
    </fill>
    <fill>
      <patternFill patternType="solid">
        <fgColor rgb="FF01FCFF"/>
        <bgColor indexed="64"/>
      </patternFill>
    </fill>
    <fill>
      <patternFill patternType="solid">
        <fgColor rgb="FF01F6FF"/>
        <bgColor indexed="64"/>
      </patternFill>
    </fill>
    <fill>
      <patternFill patternType="solid">
        <fgColor rgb="FF01EAFF"/>
        <bgColor indexed="64"/>
      </patternFill>
    </fill>
    <fill>
      <patternFill patternType="solid">
        <fgColor rgb="FF01DEFF"/>
        <bgColor indexed="64"/>
      </patternFill>
    </fill>
    <fill>
      <patternFill patternType="solid">
        <fgColor rgb="FF01D8FF"/>
        <bgColor indexed="64"/>
      </patternFill>
    </fill>
    <fill>
      <patternFill patternType="solid">
        <fgColor rgb="FF01CCFF"/>
        <bgColor indexed="64"/>
      </patternFill>
    </fill>
    <fill>
      <patternFill patternType="solid">
        <fgColor rgb="FF01C0FF"/>
        <bgColor indexed="64"/>
      </patternFill>
    </fill>
    <fill>
      <patternFill patternType="solid">
        <fgColor rgb="FF01BAFF"/>
        <bgColor indexed="64"/>
      </patternFill>
    </fill>
    <fill>
      <patternFill patternType="solid">
        <fgColor rgb="FF01AEFF"/>
        <bgColor indexed="64"/>
      </patternFill>
    </fill>
    <fill>
      <patternFill patternType="solid">
        <fgColor rgb="FF01A2FF"/>
        <bgColor indexed="64"/>
      </patternFill>
    </fill>
    <fill>
      <patternFill patternType="solid">
        <fgColor rgb="FF019CFF"/>
        <bgColor indexed="64"/>
      </patternFill>
    </fill>
    <fill>
      <patternFill patternType="solid">
        <fgColor rgb="FF0190FF"/>
        <bgColor indexed="64"/>
      </patternFill>
    </fill>
    <fill>
      <patternFill patternType="solid">
        <fgColor rgb="FF0184FF"/>
        <bgColor indexed="64"/>
      </patternFill>
    </fill>
    <fill>
      <patternFill patternType="solid">
        <fgColor rgb="FF017FFF"/>
        <bgColor indexed="64"/>
      </patternFill>
    </fill>
    <fill>
      <patternFill patternType="solid">
        <fgColor rgb="FF0173FF"/>
        <bgColor indexed="64"/>
      </patternFill>
    </fill>
    <fill>
      <patternFill patternType="solid">
        <fgColor rgb="FF0167FF"/>
        <bgColor indexed="64"/>
      </patternFill>
    </fill>
    <fill>
      <patternFill patternType="solid">
        <fgColor rgb="FF0161FF"/>
        <bgColor indexed="64"/>
      </patternFill>
    </fill>
    <fill>
      <patternFill patternType="solid">
        <fgColor rgb="FF0155FF"/>
        <bgColor indexed="64"/>
      </patternFill>
    </fill>
    <fill>
      <patternFill patternType="solid">
        <fgColor rgb="FF0149FF"/>
        <bgColor indexed="64"/>
      </patternFill>
    </fill>
    <fill>
      <patternFill patternType="solid">
        <fgColor rgb="FF0143FF"/>
        <bgColor indexed="64"/>
      </patternFill>
    </fill>
    <fill>
      <patternFill patternType="solid">
        <fgColor rgb="FF0137FF"/>
        <bgColor indexed="64"/>
      </patternFill>
    </fill>
    <fill>
      <patternFill patternType="solid">
        <fgColor rgb="FF012BFF"/>
        <bgColor indexed="64"/>
      </patternFill>
    </fill>
    <fill>
      <patternFill patternType="solid">
        <fgColor rgb="FF0125FF"/>
        <bgColor indexed="64"/>
      </patternFill>
    </fill>
    <fill>
      <patternFill patternType="solid">
        <fgColor rgb="FF0119FF"/>
        <bgColor indexed="64"/>
      </patternFill>
    </fill>
    <fill>
      <patternFill patternType="solid">
        <fgColor rgb="FF010DFF"/>
        <bgColor indexed="64"/>
      </patternFill>
    </fill>
    <fill>
      <patternFill patternType="solid">
        <fgColor rgb="FF0107FF"/>
        <bgColor indexed="64"/>
      </patternFill>
    </fill>
    <fill>
      <patternFill patternType="solid">
        <fgColor rgb="FF0701FF"/>
        <bgColor indexed="64"/>
      </patternFill>
    </fill>
    <fill>
      <patternFill patternType="solid">
        <fgColor rgb="FF1301FF"/>
        <bgColor indexed="64"/>
      </patternFill>
    </fill>
    <fill>
      <patternFill patternType="solid">
        <fgColor rgb="FF1901FF"/>
        <bgColor indexed="64"/>
      </patternFill>
    </fill>
    <fill>
      <patternFill patternType="solid">
        <fgColor rgb="FF2501FF"/>
        <bgColor indexed="64"/>
      </patternFill>
    </fill>
    <fill>
      <patternFill patternType="solid">
        <fgColor rgb="FF3101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5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2" fillId="0" borderId="0" xfId="0" applyFont="1" applyAlignment="1">
      <alignment horizontal="center"/>
    </xf>
    <xf numFmtId="0" fontId="3" fillId="75" borderId="0" xfId="0" applyFont="1" applyFill="1"/>
    <xf numFmtId="0" fontId="4" fillId="75" borderId="0" xfId="0" applyFont="1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rgb="FFD0ECF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0ECF2"/>
      <color rgb="FFE4FF01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B77-4C94-A359-F5F0F12AA60A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B77-4C94-A359-F5F0F12AA60A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B77-4C94-A359-F5F0F12AA60A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B77-4C94-A359-F5F0F12AA60A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8B77-4C94-A359-F5F0F12AA60A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B77-4C94-A359-F5F0F12AA60A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B77-4C94-A359-F5F0F12AA60A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B77-4C94-A359-F5F0F12AA60A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8B77-4C94-A359-F5F0F12AA60A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8B77-4C94-A359-F5F0F12AA60A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8B77-4C94-A359-F5F0F12AA60A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8B77-4C94-A359-F5F0F12AA60A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8B77-4C94-A359-F5F0F12AA60A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8B77-4C94-A359-F5F0F12AA60A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8B77-4C94-A359-F5F0F12AA60A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8B77-4C94-A359-F5F0F12AA60A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8B77-4C94-A359-F5F0F12AA60A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8B77-4C94-A359-F5F0F12AA60A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8B77-4C94-A359-F5F0F12AA60A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8B77-4C94-A359-F5F0F12AA60A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B506-48BA-9813-4B4CBCD64AAB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B506-48BA-9813-4B4CBCD64AAB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B506-48BA-9813-4B4CBCD64AAB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B506-48BA-9813-4B4CBCD64AAB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B506-48BA-9813-4B4CBCD64AAB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B506-48BA-9813-4B4CBCD64AAB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B506-48BA-9813-4B4CBCD64AAB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B506-48BA-9813-4B4CBCD64AAB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B506-48BA-9813-4B4CBCD64AAB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B506-48BA-9813-4B4CBCD64AAB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B506-48BA-9813-4B4CBCD64AAB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B506-48BA-9813-4B4CBCD64AAB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B506-48BA-9813-4B4CBCD64AAB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B506-48BA-9813-4B4CBCD64AAB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B506-48BA-9813-4B4CBCD64AAB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B506-48BA-9813-4B4CBCD64AAB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B506-48BA-9813-4B4CBCD64AAB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B506-48BA-9813-4B4CBCD64AAB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B506-48BA-9813-4B4CBCD64AAB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506-48BA-9813-4B4CBCD64AAB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B506-48BA-9813-4B4CBCD64AAB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B506-48BA-9813-4B4CBCD64AAB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B506-48BA-9813-4B4CBCD64AAB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B506-48BA-9813-4B4CBCD64AAB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B506-48BA-9813-4B4CBCD64AAB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B506-48BA-9813-4B4CBCD64AAB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B506-48BA-9813-4B4CBCD64AAB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B506-48BA-9813-4B4CBCD64AAB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B506-48BA-9813-4B4CBCD64AAB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B506-48BA-9813-4B4CBCD64AAB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B506-48BA-9813-4B4CBCD64AAB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B506-48BA-9813-4B4CBCD64AAB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B506-48BA-9813-4B4CBCD64AAB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B506-48BA-9813-4B4CBCD64AAB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B506-48BA-9813-4B4CBCD64AAB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B506-48BA-9813-4B4CBCD64AAB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B506-48BA-9813-4B4CBCD64AAB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B506-48BA-9813-4B4CBCD64AAB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B506-48BA-9813-4B4CBCD64AAB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B506-48BA-9813-4B4CBCD64AAB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Arch!$G$2:$G$120</c:f>
              <c:numCache>
                <c:formatCode>General</c:formatCode>
                <c:ptCount val="119"/>
                <c:pt idx="0">
                  <c:v>-3.7838298576719716</c:v>
                </c:pt>
                <c:pt idx="1">
                  <c:v>-3.8131443894951689</c:v>
                </c:pt>
                <c:pt idx="2">
                  <c:v>-3.8607860285616491</c:v>
                </c:pt>
                <c:pt idx="3">
                  <c:v>-3.9188112700790674</c:v>
                </c:pt>
                <c:pt idx="4">
                  <c:v>-3.984840869706582</c:v>
                </c:pt>
                <c:pt idx="5">
                  <c:v>-4.0432970496456226</c:v>
                </c:pt>
                <c:pt idx="6">
                  <c:v>-4.065907289894918</c:v>
                </c:pt>
                <c:pt idx="7">
                  <c:v>-4.0233336052813238</c:v>
                </c:pt>
                <c:pt idx="8">
                  <c:v>-3.954967524428544</c:v>
                </c:pt>
                <c:pt idx="9">
                  <c:v>-3.950256108551446</c:v>
                </c:pt>
                <c:pt idx="10">
                  <c:v>-3.8233531323330587</c:v>
                </c:pt>
                <c:pt idx="11">
                  <c:v>-3.6497655924563128</c:v>
                </c:pt>
                <c:pt idx="12">
                  <c:v>-3.4461445173873235</c:v>
                </c:pt>
                <c:pt idx="13">
                  <c:v>-3.2849174790861473</c:v>
                </c:pt>
                <c:pt idx="14">
                  <c:v>-3.2656997826731424</c:v>
                </c:pt>
                <c:pt idx="15">
                  <c:v>-3.5179880430728394</c:v>
                </c:pt>
                <c:pt idx="16">
                  <c:v>-3.8771037630609366</c:v>
                </c:pt>
                <c:pt idx="17">
                  <c:v>-4.1962096457683877</c:v>
                </c:pt>
                <c:pt idx="18">
                  <c:v>-4.5051261072132762</c:v>
                </c:pt>
                <c:pt idx="19">
                  <c:v>-4.4906430711018501</c:v>
                </c:pt>
                <c:pt idx="20">
                  <c:v>-4.4970181253158028</c:v>
                </c:pt>
                <c:pt idx="21">
                  <c:v>-4.5589589277907203</c:v>
                </c:pt>
                <c:pt idx="22">
                  <c:v>-4.5434320722488533</c:v>
                </c:pt>
                <c:pt idx="23">
                  <c:v>-4.6062746151618601</c:v>
                </c:pt>
                <c:pt idx="24">
                  <c:v>-4.6998745641485895</c:v>
                </c:pt>
                <c:pt idx="25">
                  <c:v>-4.7222737547462943</c:v>
                </c:pt>
                <c:pt idx="26">
                  <c:v>-4.7303815648589707</c:v>
                </c:pt>
                <c:pt idx="27">
                  <c:v>-4.8020920119080248</c:v>
                </c:pt>
                <c:pt idx="28">
                  <c:v>-4.8102518205416853</c:v>
                </c:pt>
                <c:pt idx="29">
                  <c:v>-4.8267938702636313</c:v>
                </c:pt>
                <c:pt idx="30">
                  <c:v>-4.8497132283936359</c:v>
                </c:pt>
                <c:pt idx="31">
                  <c:v>-5.0467239302723588</c:v>
                </c:pt>
                <c:pt idx="32">
                  <c:v>-5.1203544869356357</c:v>
                </c:pt>
                <c:pt idx="33">
                  <c:v>-5.1459233859640356</c:v>
                </c:pt>
                <c:pt idx="34">
                  <c:v>-5.2146642956777924</c:v>
                </c:pt>
                <c:pt idx="35">
                  <c:v>-5.2130888285899122</c:v>
                </c:pt>
                <c:pt idx="36">
                  <c:v>-5.2741648427603014</c:v>
                </c:pt>
                <c:pt idx="37">
                  <c:v>-5.3181135022530484</c:v>
                </c:pt>
                <c:pt idx="38">
                  <c:v>-5.3457050919740539</c:v>
                </c:pt>
                <c:pt idx="39">
                  <c:v>-5.4198006421718947</c:v>
                </c:pt>
                <c:pt idx="40">
                  <c:v>-5.4735906878860536</c:v>
                </c:pt>
                <c:pt idx="41">
                  <c:v>-5.5325448429423867</c:v>
                </c:pt>
                <c:pt idx="42">
                  <c:v>-5.5927440194246358</c:v>
                </c:pt>
                <c:pt idx="43">
                  <c:v>-5.6641568434297769</c:v>
                </c:pt>
                <c:pt idx="44">
                  <c:v>-5.7421790179141903</c:v>
                </c:pt>
                <c:pt idx="45">
                  <c:v>-5.7757422567665415</c:v>
                </c:pt>
                <c:pt idx="46">
                  <c:v>-5.8411205688658656</c:v>
                </c:pt>
                <c:pt idx="47">
                  <c:v>-5.9738103098756348</c:v>
                </c:pt>
                <c:pt idx="48">
                  <c:v>-6.010756249765997</c:v>
                </c:pt>
                <c:pt idx="49">
                  <c:v>-5.9947201110747663</c:v>
                </c:pt>
                <c:pt idx="50">
                  <c:v>-5.9770611031010308</c:v>
                </c:pt>
                <c:pt idx="51">
                  <c:v>-5.9594169450661285</c:v>
                </c:pt>
                <c:pt idx="52">
                  <c:v>-5.9477151568154767</c:v>
                </c:pt>
                <c:pt idx="53">
                  <c:v>-5.9412621628107196</c:v>
                </c:pt>
                <c:pt idx="54">
                  <c:v>-5.9367473060387104</c:v>
                </c:pt>
                <c:pt idx="55">
                  <c:v>-5.9327924267352463</c:v>
                </c:pt>
                <c:pt idx="56">
                  <c:v>-5.9311845947123718</c:v>
                </c:pt>
                <c:pt idx="57">
                  <c:v>-5.9316513288312134</c:v>
                </c:pt>
                <c:pt idx="58">
                  <c:v>-5.9642966332241594</c:v>
                </c:pt>
                <c:pt idx="59">
                  <c:v>-6.173663857190185</c:v>
                </c:pt>
                <c:pt idx="60">
                  <c:v>-6.3462792995071062</c:v>
                </c:pt>
                <c:pt idx="61">
                  <c:v>-6.5060855474357799</c:v>
                </c:pt>
                <c:pt idx="62">
                  <c:v>-6.642353847965409</c:v>
                </c:pt>
                <c:pt idx="63">
                  <c:v>-6.8081637703669227</c:v>
                </c:pt>
                <c:pt idx="64">
                  <c:v>-6.95688219084371</c:v>
                </c:pt>
                <c:pt idx="65">
                  <c:v>-7.0291302128025519</c:v>
                </c:pt>
                <c:pt idx="66">
                  <c:v>-7.1075655614317164</c:v>
                </c:pt>
                <c:pt idx="67">
                  <c:v>-7.196449625628798</c:v>
                </c:pt>
                <c:pt idx="68">
                  <c:v>-7.3793842013848252</c:v>
                </c:pt>
                <c:pt idx="69">
                  <c:v>-7.524612153419989</c:v>
                </c:pt>
                <c:pt idx="70">
                  <c:v>-7.4950970739921878</c:v>
                </c:pt>
                <c:pt idx="71">
                  <c:v>-7.5009471189238788</c:v>
                </c:pt>
                <c:pt idx="72">
                  <c:v>-7.4255048394966501</c:v>
                </c:pt>
                <c:pt idx="73">
                  <c:v>-7.3595931872289286</c:v>
                </c:pt>
                <c:pt idx="74">
                  <c:v>-7.544358000322843</c:v>
                </c:pt>
                <c:pt idx="75">
                  <c:v>-7.8311787282194478</c:v>
                </c:pt>
                <c:pt idx="76">
                  <c:v>-7.9649374559350798</c:v>
                </c:pt>
                <c:pt idx="77">
                  <c:v>-7.9043198586135475</c:v>
                </c:pt>
                <c:pt idx="78">
                  <c:v>-7.8295478674430221</c:v>
                </c:pt>
                <c:pt idx="79">
                  <c:v>-7.3188983630736786</c:v>
                </c:pt>
                <c:pt idx="80">
                  <c:v>-7.0055201736597521</c:v>
                </c:pt>
                <c:pt idx="81">
                  <c:v>-6.6323817839237389</c:v>
                </c:pt>
                <c:pt idx="82">
                  <c:v>-6.2117835280822948</c:v>
                </c:pt>
                <c:pt idx="83">
                  <c:v>-6.7834318816123069</c:v>
                </c:pt>
                <c:pt idx="84">
                  <c:v>-7.0965479736732435</c:v>
                </c:pt>
                <c:pt idx="85">
                  <c:v>-7.0097378403216188</c:v>
                </c:pt>
                <c:pt idx="86">
                  <c:v>-6.5680696682567588</c:v>
                </c:pt>
                <c:pt idx="87">
                  <c:v>-6.1459035296846469</c:v>
                </c:pt>
                <c:pt idx="88">
                  <c:v>-5.699509349937717</c:v>
                </c:pt>
                <c:pt idx="89">
                  <c:v>-5.2451429916010559</c:v>
                </c:pt>
                <c:pt idx="90">
                  <c:v>-4.7261141622650147</c:v>
                </c:pt>
                <c:pt idx="91">
                  <c:v>-4.7306106178800551</c:v>
                </c:pt>
                <c:pt idx="92">
                  <c:v>-4.7270318877814956</c:v>
                </c:pt>
                <c:pt idx="93">
                  <c:v>-4.7296928923635768</c:v>
                </c:pt>
                <c:pt idx="94">
                  <c:v>-4.727949613297973</c:v>
                </c:pt>
                <c:pt idx="95">
                  <c:v>-4.7287751668470985</c:v>
                </c:pt>
                <c:pt idx="96">
                  <c:v>-4.7288673388144531</c:v>
                </c:pt>
                <c:pt idx="97">
                  <c:v>-4.7278574413306185</c:v>
                </c:pt>
                <c:pt idx="98">
                  <c:v>-4.7297850643309314</c:v>
                </c:pt>
                <c:pt idx="99">
                  <c:v>-4.7269397158141429</c:v>
                </c:pt>
                <c:pt idx="100">
                  <c:v>-4.7307027898474105</c:v>
                </c:pt>
                <c:pt idx="101">
                  <c:v>-4.7260219902976166</c:v>
                </c:pt>
                <c:pt idx="102">
                  <c:v>-4.7309611191574819</c:v>
                </c:pt>
                <c:pt idx="103">
                  <c:v>-4.7266813865041311</c:v>
                </c:pt>
                <c:pt idx="104">
                  <c:v>-4.7300433936408783</c:v>
                </c:pt>
                <c:pt idx="105">
                  <c:v>-4.727599112020739</c:v>
                </c:pt>
                <c:pt idx="106">
                  <c:v>-4.7291256681242713</c:v>
                </c:pt>
                <c:pt idx="107">
                  <c:v>-4.7285168375373425</c:v>
                </c:pt>
                <c:pt idx="108">
                  <c:v>-4.7282079426076606</c:v>
                </c:pt>
                <c:pt idx="109">
                  <c:v>-4.729434563053954</c:v>
                </c:pt>
                <c:pt idx="110">
                  <c:v>-4.8262488355298254</c:v>
                </c:pt>
                <c:pt idx="111">
                  <c:v>-5.0669446160444629</c:v>
                </c:pt>
                <c:pt idx="112">
                  <c:v>-4.7974044527719046</c:v>
                </c:pt>
                <c:pt idx="113">
                  <c:v>-4.2853790297980385</c:v>
                </c:pt>
                <c:pt idx="114">
                  <c:v>-3.6961647654295051</c:v>
                </c:pt>
                <c:pt idx="115">
                  <c:v>-3.0706497404665223</c:v>
                </c:pt>
                <c:pt idx="116">
                  <c:v>-2.8077231344722966</c:v>
                </c:pt>
                <c:pt idx="117">
                  <c:v>-2.074784656018227</c:v>
                </c:pt>
                <c:pt idx="118">
                  <c:v>-1.764511022728896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43.21416591788936</c:v>
                </c:pt>
                <c:pt idx="1">
                  <c:v>43.198985505390119</c:v>
                </c:pt>
                <c:pt idx="2">
                  <c:v>43.097711390262262</c:v>
                </c:pt>
                <c:pt idx="3">
                  <c:v>42.955275772599236</c:v>
                </c:pt>
                <c:pt idx="4">
                  <c:v>42.795313877304835</c:v>
                </c:pt>
                <c:pt idx="5">
                  <c:v>42.599627687508239</c:v>
                </c:pt>
                <c:pt idx="6">
                  <c:v>42.490064078706716</c:v>
                </c:pt>
                <c:pt idx="7">
                  <c:v>42.351318713554846</c:v>
                </c:pt>
                <c:pt idx="8">
                  <c:v>42.359303303383356</c:v>
                </c:pt>
                <c:pt idx="9">
                  <c:v>42.159419338700758</c:v>
                </c:pt>
                <c:pt idx="10">
                  <c:v>42.052442532599756</c:v>
                </c:pt>
                <c:pt idx="11">
                  <c:v>42.212045737856201</c:v>
                </c:pt>
                <c:pt idx="12">
                  <c:v>42.293204275714814</c:v>
                </c:pt>
                <c:pt idx="13">
                  <c:v>42.285145028437555</c:v>
                </c:pt>
                <c:pt idx="14">
                  <c:v>42.1407546058226</c:v>
                </c:pt>
                <c:pt idx="15">
                  <c:v>41.70626945239129</c:v>
                </c:pt>
                <c:pt idx="16">
                  <c:v>41.043776593286267</c:v>
                </c:pt>
                <c:pt idx="17">
                  <c:v>40.342267757670982</c:v>
                </c:pt>
                <c:pt idx="18">
                  <c:v>39.757778609798351</c:v>
                </c:pt>
                <c:pt idx="19">
                  <c:v>39.668317640133097</c:v>
                </c:pt>
                <c:pt idx="20">
                  <c:v>39.521213926902647</c:v>
                </c:pt>
                <c:pt idx="21">
                  <c:v>39.03222617013197</c:v>
                </c:pt>
                <c:pt idx="22">
                  <c:v>38.760323767430812</c:v>
                </c:pt>
                <c:pt idx="23">
                  <c:v>38.430260735491615</c:v>
                </c:pt>
                <c:pt idx="24">
                  <c:v>38.04964056454962</c:v>
                </c:pt>
                <c:pt idx="25">
                  <c:v>37.784235262202948</c:v>
                </c:pt>
                <c:pt idx="26">
                  <c:v>37.544400360695185</c:v>
                </c:pt>
                <c:pt idx="27">
                  <c:v>37.147636973177129</c:v>
                </c:pt>
                <c:pt idx="28">
                  <c:v>36.92267882333708</c:v>
                </c:pt>
                <c:pt idx="29">
                  <c:v>36.677575928260687</c:v>
                </c:pt>
                <c:pt idx="30">
                  <c:v>36.432488767721381</c:v>
                </c:pt>
                <c:pt idx="31">
                  <c:v>35.913832334687228</c:v>
                </c:pt>
                <c:pt idx="32">
                  <c:v>35.559527106398022</c:v>
                </c:pt>
                <c:pt idx="33">
                  <c:v>35.257060010221601</c:v>
                </c:pt>
                <c:pt idx="34">
                  <c:v>34.898960745077325</c:v>
                </c:pt>
                <c:pt idx="35">
                  <c:v>34.583929492685058</c:v>
                </c:pt>
                <c:pt idx="36">
                  <c:v>34.164964447730867</c:v>
                </c:pt>
                <c:pt idx="37">
                  <c:v>33.768774465150535</c:v>
                </c:pt>
                <c:pt idx="38">
                  <c:v>33.391627717479423</c:v>
                </c:pt>
                <c:pt idx="39">
                  <c:v>32.948648042509916</c:v>
                </c:pt>
                <c:pt idx="40">
                  <c:v>32.53007383407936</c:v>
                </c:pt>
                <c:pt idx="41">
                  <c:v>32.108638187819707</c:v>
                </c:pt>
                <c:pt idx="42">
                  <c:v>31.687409517155182</c:v>
                </c:pt>
                <c:pt idx="43">
                  <c:v>31.248073261934667</c:v>
                </c:pt>
                <c:pt idx="44">
                  <c:v>30.798751720067351</c:v>
                </c:pt>
                <c:pt idx="45">
                  <c:v>30.449247801523725</c:v>
                </c:pt>
                <c:pt idx="46">
                  <c:v>30.034365175201721</c:v>
                </c:pt>
                <c:pt idx="47">
                  <c:v>29.468045277998428</c:v>
                </c:pt>
                <c:pt idx="48">
                  <c:v>28.92437516254865</c:v>
                </c:pt>
                <c:pt idx="49">
                  <c:v>28.398837549045286</c:v>
                </c:pt>
                <c:pt idx="50">
                  <c:v>27.860280082950108</c:v>
                </c:pt>
                <c:pt idx="51">
                  <c:v>27.32241791663391</c:v>
                </c:pt>
                <c:pt idx="52">
                  <c:v>26.759305892023363</c:v>
                </c:pt>
                <c:pt idx="53">
                  <c:v>26.165443734369994</c:v>
                </c:pt>
                <c:pt idx="54">
                  <c:v>25.554439815052323</c:v>
                </c:pt>
                <c:pt idx="55">
                  <c:v>24.944859256707716</c:v>
                </c:pt>
                <c:pt idx="56">
                  <c:v>24.299503648503194</c:v>
                </c:pt>
                <c:pt idx="57">
                  <c:v>23.617096148576113</c:v>
                </c:pt>
                <c:pt idx="58">
                  <c:v>22.883342690198191</c:v>
                </c:pt>
                <c:pt idx="59">
                  <c:v>22.150250927148164</c:v>
                </c:pt>
                <c:pt idx="60">
                  <c:v>21.273587671303904</c:v>
                </c:pt>
                <c:pt idx="61">
                  <c:v>20.902586323236779</c:v>
                </c:pt>
                <c:pt idx="62">
                  <c:v>20.659085445859226</c:v>
                </c:pt>
                <c:pt idx="63">
                  <c:v>20.355868094070843</c:v>
                </c:pt>
                <c:pt idx="64">
                  <c:v>20.22055996101443</c:v>
                </c:pt>
                <c:pt idx="65">
                  <c:v>20.096145818709779</c:v>
                </c:pt>
                <c:pt idx="66">
                  <c:v>19.92766984465176</c:v>
                </c:pt>
                <c:pt idx="67">
                  <c:v>19.626652699457949</c:v>
                </c:pt>
                <c:pt idx="68">
                  <c:v>18.594929331401559</c:v>
                </c:pt>
                <c:pt idx="69">
                  <c:v>17.647351766388358</c:v>
                </c:pt>
                <c:pt idx="70">
                  <c:v>17.552701081557981</c:v>
                </c:pt>
                <c:pt idx="71">
                  <c:v>17.678760782069869</c:v>
                </c:pt>
                <c:pt idx="72">
                  <c:v>17.627529768878631</c:v>
                </c:pt>
                <c:pt idx="73">
                  <c:v>17.426402469433199</c:v>
                </c:pt>
                <c:pt idx="74">
                  <c:v>16.863081483709585</c:v>
                </c:pt>
                <c:pt idx="75">
                  <c:v>15.620007884664322</c:v>
                </c:pt>
                <c:pt idx="76">
                  <c:v>14.181303432232092</c:v>
                </c:pt>
                <c:pt idx="77">
                  <c:v>13.137684179346092</c:v>
                </c:pt>
                <c:pt idx="78">
                  <c:v>12.709353371379056</c:v>
                </c:pt>
                <c:pt idx="79">
                  <c:v>12.350339081273514</c:v>
                </c:pt>
                <c:pt idx="80">
                  <c:v>12.463669765550497</c:v>
                </c:pt>
                <c:pt idx="81">
                  <c:v>12.83186272530625</c:v>
                </c:pt>
                <c:pt idx="82">
                  <c:v>13.029528982088747</c:v>
                </c:pt>
                <c:pt idx="83">
                  <c:v>11.793428667425328</c:v>
                </c:pt>
                <c:pt idx="84">
                  <c:v>10.347811388521189</c:v>
                </c:pt>
                <c:pt idx="85">
                  <c:v>9.213142126160621</c:v>
                </c:pt>
                <c:pt idx="86">
                  <c:v>9.0393457442379876</c:v>
                </c:pt>
                <c:pt idx="87">
                  <c:v>9.1279746838676896</c:v>
                </c:pt>
                <c:pt idx="88">
                  <c:v>9.6604995013668429</c:v>
                </c:pt>
                <c:pt idx="89">
                  <c:v>9.6821572951725923</c:v>
                </c:pt>
                <c:pt idx="90">
                  <c:v>10.45326558640763</c:v>
                </c:pt>
                <c:pt idx="91">
                  <c:v>10.442531302494281</c:v>
                </c:pt>
                <c:pt idx="92">
                  <c:v>10.451074721626163</c:v>
                </c:pt>
                <c:pt idx="93">
                  <c:v>10.444722167275742</c:v>
                </c:pt>
                <c:pt idx="94">
                  <c:v>10.4488838568447</c:v>
                </c:pt>
                <c:pt idx="95">
                  <c:v>10.446913032057207</c:v>
                </c:pt>
                <c:pt idx="96">
                  <c:v>10.446692992063234</c:v>
                </c:pt>
                <c:pt idx="97">
                  <c:v>10.449103896838672</c:v>
                </c:pt>
                <c:pt idx="98">
                  <c:v>10.444502127281769</c:v>
                </c:pt>
                <c:pt idx="99">
                  <c:v>10.451294761620133</c:v>
                </c:pt>
                <c:pt idx="100">
                  <c:v>10.442311262500304</c:v>
                </c:pt>
                <c:pt idx="101">
                  <c:v>10.453485626401708</c:v>
                </c:pt>
                <c:pt idx="102">
                  <c:v>10.44169455894647</c:v>
                </c:pt>
                <c:pt idx="103">
                  <c:v>10.45191146517382</c:v>
                </c:pt>
                <c:pt idx="104">
                  <c:v>10.443885423728233</c:v>
                </c:pt>
                <c:pt idx="105">
                  <c:v>10.44972060039205</c:v>
                </c:pt>
                <c:pt idx="106">
                  <c:v>10.446076288510003</c:v>
                </c:pt>
                <c:pt idx="107">
                  <c:v>10.447529735610285</c:v>
                </c:pt>
                <c:pt idx="108">
                  <c:v>10.448267153291786</c:v>
                </c:pt>
                <c:pt idx="109">
                  <c:v>10.445338870828504</c:v>
                </c:pt>
                <c:pt idx="110">
                  <c:v>10.125212436046409</c:v>
                </c:pt>
                <c:pt idx="111">
                  <c:v>8.6256147387355746</c:v>
                </c:pt>
                <c:pt idx="112">
                  <c:v>7.2777108964228692</c:v>
                </c:pt>
                <c:pt idx="113">
                  <c:v>7.3488297049937579</c:v>
                </c:pt>
                <c:pt idx="114">
                  <c:v>7.8818249327266869</c:v>
                </c:pt>
                <c:pt idx="115">
                  <c:v>8.7109820810565619</c:v>
                </c:pt>
                <c:pt idx="116">
                  <c:v>8.1010218452350955</c:v>
                </c:pt>
                <c:pt idx="117">
                  <c:v>9.1105853102206904</c:v>
                </c:pt>
                <c:pt idx="11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B77-4C94-A359-F5F0F12AA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B92-43EF-8B00-39A7781006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B92-43EF-8B00-39A7781006B6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B92-43EF-8B00-39A7781006B6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B92-43EF-8B00-39A7781006B6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B92-43EF-8B00-39A7781006B6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B92-43EF-8B00-39A7781006B6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B92-43EF-8B00-39A7781006B6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B92-43EF-8B00-39A7781006B6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5B92-43EF-8B00-39A7781006B6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5B92-43EF-8B00-39A7781006B6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B92-43EF-8B00-39A7781006B6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5B92-43EF-8B00-39A7781006B6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5B92-43EF-8B00-39A7781006B6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5B92-43EF-8B00-39A7781006B6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5B92-43EF-8B00-39A7781006B6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5B92-43EF-8B00-39A7781006B6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5B92-43EF-8B00-39A7781006B6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5B92-43EF-8B00-39A7781006B6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5B92-43EF-8B00-39A7781006B6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5B92-43EF-8B00-39A7781006B6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1DB-4ADD-93A9-5A8207E0AF49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1DB-4ADD-93A9-5A8207E0AF49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1DB-4ADD-93A9-5A8207E0AF49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1DB-4ADD-93A9-5A8207E0AF49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1DB-4ADD-93A9-5A8207E0AF49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1DB-4ADD-93A9-5A8207E0AF49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1DB-4ADD-93A9-5A8207E0AF49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1DB-4ADD-93A9-5A8207E0AF49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1DB-4ADD-93A9-5A8207E0AF49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1DB-4ADD-93A9-5A8207E0AF49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71DB-4ADD-93A9-5A8207E0AF49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71DB-4ADD-93A9-5A8207E0AF49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71DB-4ADD-93A9-5A8207E0AF49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71DB-4ADD-93A9-5A8207E0AF49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71DB-4ADD-93A9-5A8207E0AF49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71DB-4ADD-93A9-5A8207E0AF49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71DB-4ADD-93A9-5A8207E0AF49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71DB-4ADD-93A9-5A8207E0AF49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71DB-4ADD-93A9-5A8207E0AF49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1DB-4ADD-93A9-5A8207E0AF49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1DB-4ADD-93A9-5A8207E0AF49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1DB-4ADD-93A9-5A8207E0AF49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1DB-4ADD-93A9-5A8207E0AF49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1DB-4ADD-93A9-5A8207E0AF49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1DB-4ADD-93A9-5A8207E0AF49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1DB-4ADD-93A9-5A8207E0AF49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1DB-4ADD-93A9-5A8207E0AF49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1DB-4ADD-93A9-5A8207E0AF49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1DB-4ADD-93A9-5A8207E0AF49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1DB-4ADD-93A9-5A8207E0AF49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1DB-4ADD-93A9-5A8207E0AF49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1DB-4ADD-93A9-5A8207E0AF49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1DB-4ADD-93A9-5A8207E0AF49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1DB-4ADD-93A9-5A8207E0AF49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1DB-4ADD-93A9-5A8207E0AF49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1DB-4ADD-93A9-5A8207E0AF49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1DB-4ADD-93A9-5A8207E0AF49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1DB-4ADD-93A9-5A8207E0AF49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1DB-4ADD-93A9-5A8207E0AF49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1DB-4ADD-93A9-5A8207E0AF49}"/>
              </c:ext>
            </c:extLst>
          </c:dPt>
          <c:xVal>
            <c:numRef>
              <c:f>Base!$I$2:$I$61</c:f>
              <c:numCache>
                <c:formatCode>General</c:formatCode>
                <c:ptCount val="60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tx>
            <c:v>Arch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Arch!$I$2:$I$120</c:f>
              <c:numCache>
                <c:formatCode>General</c:formatCode>
                <c:ptCount val="119"/>
                <c:pt idx="0">
                  <c:v>0.46405775722723652</c:v>
                </c:pt>
                <c:pt idx="1">
                  <c:v>1.2383259323481755</c:v>
                </c:pt>
                <c:pt idx="2">
                  <c:v>2.0023783915429614</c:v>
                </c:pt>
                <c:pt idx="3">
                  <c:v>2.7626295603015825</c:v>
                </c:pt>
                <c:pt idx="4">
                  <c:v>3.5163084260374329</c:v>
                </c:pt>
                <c:pt idx="5">
                  <c:v>4.2569094285887017</c:v>
                </c:pt>
                <c:pt idx="6">
                  <c:v>5.0097597941938918</c:v>
                </c:pt>
                <c:pt idx="7">
                  <c:v>5.760751110056102</c:v>
                </c:pt>
                <c:pt idx="8">
                  <c:v>6.5317115610237879</c:v>
                </c:pt>
                <c:pt idx="9">
                  <c:v>7.2419962744591588</c:v>
                </c:pt>
                <c:pt idx="10">
                  <c:v>7.9751118795383844</c:v>
                </c:pt>
                <c:pt idx="11">
                  <c:v>8.7127470155278743</c:v>
                </c:pt>
                <c:pt idx="12">
                  <c:v>9.4577444588077899</c:v>
                </c:pt>
                <c:pt idx="13">
                  <c:v>10.216994920510437</c:v>
                </c:pt>
                <c:pt idx="14">
                  <c:v>10.972750496085112</c:v>
                </c:pt>
                <c:pt idx="15">
                  <c:v>11.539361853505397</c:v>
                </c:pt>
                <c:pt idx="16">
                  <c:v>11.696668914516664</c:v>
                </c:pt>
                <c:pt idx="17">
                  <c:v>11.788382676882955</c:v>
                </c:pt>
                <c:pt idx="18">
                  <c:v>12.146503985500914</c:v>
                </c:pt>
                <c:pt idx="19">
                  <c:v>12.914137580081288</c:v>
                </c:pt>
                <c:pt idx="20">
                  <c:v>13.669010295363153</c:v>
                </c:pt>
                <c:pt idx="21">
                  <c:v>14.254679946403305</c:v>
                </c:pt>
                <c:pt idx="22">
                  <c:v>14.974123889630617</c:v>
                </c:pt>
                <c:pt idx="23">
                  <c:v>15.669907904564305</c:v>
                </c:pt>
                <c:pt idx="24">
                  <c:v>16.334304863878202</c:v>
                </c:pt>
                <c:pt idx="25">
                  <c:v>17.061308667252284</c:v>
                </c:pt>
                <c:pt idx="26">
                  <c:v>17.798645612345101</c:v>
                </c:pt>
                <c:pt idx="27">
                  <c:v>18.462487983004216</c:v>
                </c:pt>
                <c:pt idx="28">
                  <c:v>19.204428205005705</c:v>
                </c:pt>
                <c:pt idx="29">
                  <c:v>19.939402611703152</c:v>
                </c:pt>
                <c:pt idx="30">
                  <c:v>20.671427755701853</c:v>
                </c:pt>
                <c:pt idx="31">
                  <c:v>21.201062291768604</c:v>
                </c:pt>
                <c:pt idx="32">
                  <c:v>21.876834397102073</c:v>
                </c:pt>
                <c:pt idx="33">
                  <c:v>22.591225555805668</c:v>
                </c:pt>
                <c:pt idx="34">
                  <c:v>23.2765562136989</c:v>
                </c:pt>
                <c:pt idx="35">
                  <c:v>23.986575784782481</c:v>
                </c:pt>
                <c:pt idx="36">
                  <c:v>24.631818081052621</c:v>
                </c:pt>
                <c:pt idx="37">
                  <c:v>25.295330317473656</c:v>
                </c:pt>
                <c:pt idx="38">
                  <c:v>25.972200736383797</c:v>
                </c:pt>
                <c:pt idx="39">
                  <c:v>26.605783957972243</c:v>
                </c:pt>
                <c:pt idx="40">
                  <c:v>27.258429402232562</c:v>
                </c:pt>
                <c:pt idx="41">
                  <c:v>27.908508649874477</c:v>
                </c:pt>
                <c:pt idx="42">
                  <c:v>28.55828522335004</c:v>
                </c:pt>
                <c:pt idx="43">
                  <c:v>29.193870839981329</c:v>
                </c:pt>
                <c:pt idx="44">
                  <c:v>29.823297273914132</c:v>
                </c:pt>
                <c:pt idx="45">
                  <c:v>30.512990696707011</c:v>
                </c:pt>
                <c:pt idx="46">
                  <c:v>31.162703957516307</c:v>
                </c:pt>
                <c:pt idx="47">
                  <c:v>31.676345986702412</c:v>
                </c:pt>
                <c:pt idx="48">
                  <c:v>32.226251494694381</c:v>
                </c:pt>
                <c:pt idx="49">
                  <c:v>32.797553259187204</c:v>
                </c:pt>
                <c:pt idx="50">
                  <c:v>33.357480316598682</c:v>
                </c:pt>
                <c:pt idx="51">
                  <c:v>33.916727207393585</c:v>
                </c:pt>
                <c:pt idx="52">
                  <c:v>34.450674708972414</c:v>
                </c:pt>
                <c:pt idx="53">
                  <c:v>34.95216197402894</c:v>
                </c:pt>
                <c:pt idx="54">
                  <c:v>35.432199401851207</c:v>
                </c:pt>
                <c:pt idx="55">
                  <c:v>35.91416396456723</c:v>
                </c:pt>
                <c:pt idx="56">
                  <c:v>36.347404376863757</c:v>
                </c:pt>
                <c:pt idx="57">
                  <c:v>36.718456512941579</c:v>
                </c:pt>
                <c:pt idx="58">
                  <c:v>36.9570051349925</c:v>
                </c:pt>
                <c:pt idx="59">
                  <c:v>36.891185867610552</c:v>
                </c:pt>
                <c:pt idx="60">
                  <c:v>35.679174033353391</c:v>
                </c:pt>
                <c:pt idx="61">
                  <c:v>34.182800325781386</c:v>
                </c:pt>
                <c:pt idx="62">
                  <c:v>32.66652726028137</c:v>
                </c:pt>
                <c:pt idx="63">
                  <c:v>31.187377128431045</c:v>
                </c:pt>
                <c:pt idx="64">
                  <c:v>29.762643536734473</c:v>
                </c:pt>
                <c:pt idx="65">
                  <c:v>28.230186513193136</c:v>
                </c:pt>
                <c:pt idx="66">
                  <c:v>26.70299918479666</c:v>
                </c:pt>
                <c:pt idx="67">
                  <c:v>25.195434680425393</c:v>
                </c:pt>
                <c:pt idx="68">
                  <c:v>24.216095462323594</c:v>
                </c:pt>
                <c:pt idx="69">
                  <c:v>23.070206504966087</c:v>
                </c:pt>
                <c:pt idx="70">
                  <c:v>21.536587418236536</c:v>
                </c:pt>
                <c:pt idx="71">
                  <c:v>19.997950871973938</c:v>
                </c:pt>
                <c:pt idx="72">
                  <c:v>18.451548093460577</c:v>
                </c:pt>
                <c:pt idx="73">
                  <c:v>16.919705250272518</c:v>
                </c:pt>
                <c:pt idx="74">
                  <c:v>16.844340690943806</c:v>
                </c:pt>
                <c:pt idx="75">
                  <c:v>17.704465341732721</c:v>
                </c:pt>
                <c:pt idx="76">
                  <c:v>18.191016314732337</c:v>
                </c:pt>
                <c:pt idx="77">
                  <c:v>17.173508617662741</c:v>
                </c:pt>
                <c:pt idx="78">
                  <c:v>15.685753586041667</c:v>
                </c:pt>
                <c:pt idx="79">
                  <c:v>14.275044141228747</c:v>
                </c:pt>
                <c:pt idx="80">
                  <c:v>12.774336706039614</c:v>
                </c:pt>
                <c:pt idx="81">
                  <c:v>11.335703035899147</c:v>
                </c:pt>
                <c:pt idx="82">
                  <c:v>10.063824806927144</c:v>
                </c:pt>
                <c:pt idx="83">
                  <c:v>10.754707502887436</c:v>
                </c:pt>
                <c:pt idx="84">
                  <c:v>11.201049377494256</c:v>
                </c:pt>
                <c:pt idx="85">
                  <c:v>10.525611101847611</c:v>
                </c:pt>
                <c:pt idx="86">
                  <c:v>9.0555807851379342</c:v>
                </c:pt>
                <c:pt idx="87">
                  <c:v>7.5758152995255568</c:v>
                </c:pt>
                <c:pt idx="88">
                  <c:v>6.2093984452955331</c:v>
                </c:pt>
                <c:pt idx="89">
                  <c:v>4.9824187477082731</c:v>
                </c:pt>
                <c:pt idx="90">
                  <c:v>4.1558311105980463</c:v>
                </c:pt>
                <c:pt idx="91">
                  <c:v>4.1782940517016698</c:v>
                </c:pt>
                <c:pt idx="92">
                  <c:v>4.1604157915091697</c:v>
                </c:pt>
                <c:pt idx="93">
                  <c:v>4.1737093707905579</c:v>
                </c:pt>
                <c:pt idx="94">
                  <c:v>4.1650004724202816</c:v>
                </c:pt>
                <c:pt idx="95">
                  <c:v>4.1691246898794398</c:v>
                </c:pt>
                <c:pt idx="96">
                  <c:v>4.1695851533314006</c:v>
                </c:pt>
                <c:pt idx="97">
                  <c:v>4.1645400089683218</c:v>
                </c:pt>
                <c:pt idx="98">
                  <c:v>4.1741698342425178</c:v>
                </c:pt>
                <c:pt idx="99">
                  <c:v>4.159955328057217</c:v>
                </c:pt>
                <c:pt idx="100">
                  <c:v>4.1787545151536358</c:v>
                </c:pt>
                <c:pt idx="101">
                  <c:v>4.1553706471458653</c:v>
                </c:pt>
                <c:pt idx="102">
                  <c:v>4.180045050760854</c:v>
                </c:pt>
                <c:pt idx="103">
                  <c:v>4.1586647924503044</c:v>
                </c:pt>
                <c:pt idx="104">
                  <c:v>4.1754603698491115</c:v>
                </c:pt>
                <c:pt idx="105">
                  <c:v>4.1632494733620602</c:v>
                </c:pt>
                <c:pt idx="106">
                  <c:v>4.1708756889373557</c:v>
                </c:pt>
                <c:pt idx="107">
                  <c:v>4.1678341542738035</c:v>
                </c:pt>
                <c:pt idx="108">
                  <c:v>4.1662910080255759</c:v>
                </c:pt>
                <c:pt idx="109">
                  <c:v>4.1724188351855833</c:v>
                </c:pt>
                <c:pt idx="110">
                  <c:v>4.1776919099424896</c:v>
                </c:pt>
                <c:pt idx="111">
                  <c:v>4.2838897804588001</c:v>
                </c:pt>
                <c:pt idx="112">
                  <c:v>3.9554600631995571</c:v>
                </c:pt>
                <c:pt idx="113">
                  <c:v>2.5193070321776938</c:v>
                </c:pt>
                <c:pt idx="114">
                  <c:v>1.2077093603054774</c:v>
                </c:pt>
                <c:pt idx="115">
                  <c:v>0.1095106650423701</c:v>
                </c:pt>
                <c:pt idx="116">
                  <c:v>-1.0459082041578225</c:v>
                </c:pt>
                <c:pt idx="117">
                  <c:v>-1.901553113980615</c:v>
                </c:pt>
                <c:pt idx="118">
                  <c:v>-3.3652014668132231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43.21416591788936</c:v>
                </c:pt>
                <c:pt idx="1">
                  <c:v>43.198985505390119</c:v>
                </c:pt>
                <c:pt idx="2">
                  <c:v>43.097711390262262</c:v>
                </c:pt>
                <c:pt idx="3">
                  <c:v>42.955275772599236</c:v>
                </c:pt>
                <c:pt idx="4">
                  <c:v>42.795313877304835</c:v>
                </c:pt>
                <c:pt idx="5">
                  <c:v>42.599627687508239</c:v>
                </c:pt>
                <c:pt idx="6">
                  <c:v>42.490064078706716</c:v>
                </c:pt>
                <c:pt idx="7">
                  <c:v>42.351318713554846</c:v>
                </c:pt>
                <c:pt idx="8">
                  <c:v>42.359303303383356</c:v>
                </c:pt>
                <c:pt idx="9">
                  <c:v>42.159419338700758</c:v>
                </c:pt>
                <c:pt idx="10">
                  <c:v>42.052442532599756</c:v>
                </c:pt>
                <c:pt idx="11">
                  <c:v>42.212045737856201</c:v>
                </c:pt>
                <c:pt idx="12">
                  <c:v>42.293204275714814</c:v>
                </c:pt>
                <c:pt idx="13">
                  <c:v>42.285145028437555</c:v>
                </c:pt>
                <c:pt idx="14">
                  <c:v>42.1407546058226</c:v>
                </c:pt>
                <c:pt idx="15">
                  <c:v>41.70626945239129</c:v>
                </c:pt>
                <c:pt idx="16">
                  <c:v>41.043776593286267</c:v>
                </c:pt>
                <c:pt idx="17">
                  <c:v>40.342267757670982</c:v>
                </c:pt>
                <c:pt idx="18">
                  <c:v>39.757778609798351</c:v>
                </c:pt>
                <c:pt idx="19">
                  <c:v>39.668317640133097</c:v>
                </c:pt>
                <c:pt idx="20">
                  <c:v>39.521213926902647</c:v>
                </c:pt>
                <c:pt idx="21">
                  <c:v>39.03222617013197</c:v>
                </c:pt>
                <c:pt idx="22">
                  <c:v>38.760323767430812</c:v>
                </c:pt>
                <c:pt idx="23">
                  <c:v>38.430260735491615</c:v>
                </c:pt>
                <c:pt idx="24">
                  <c:v>38.04964056454962</c:v>
                </c:pt>
                <c:pt idx="25">
                  <c:v>37.784235262202948</c:v>
                </c:pt>
                <c:pt idx="26">
                  <c:v>37.544400360695185</c:v>
                </c:pt>
                <c:pt idx="27">
                  <c:v>37.147636973177129</c:v>
                </c:pt>
                <c:pt idx="28">
                  <c:v>36.92267882333708</c:v>
                </c:pt>
                <c:pt idx="29">
                  <c:v>36.677575928260687</c:v>
                </c:pt>
                <c:pt idx="30">
                  <c:v>36.432488767721381</c:v>
                </c:pt>
                <c:pt idx="31">
                  <c:v>35.913832334687228</c:v>
                </c:pt>
                <c:pt idx="32">
                  <c:v>35.559527106398022</c:v>
                </c:pt>
                <c:pt idx="33">
                  <c:v>35.257060010221601</c:v>
                </c:pt>
                <c:pt idx="34">
                  <c:v>34.898960745077325</c:v>
                </c:pt>
                <c:pt idx="35">
                  <c:v>34.583929492685058</c:v>
                </c:pt>
                <c:pt idx="36">
                  <c:v>34.164964447730867</c:v>
                </c:pt>
                <c:pt idx="37">
                  <c:v>33.768774465150535</c:v>
                </c:pt>
                <c:pt idx="38">
                  <c:v>33.391627717479423</c:v>
                </c:pt>
                <c:pt idx="39">
                  <c:v>32.948648042509916</c:v>
                </c:pt>
                <c:pt idx="40">
                  <c:v>32.53007383407936</c:v>
                </c:pt>
                <c:pt idx="41">
                  <c:v>32.108638187819707</c:v>
                </c:pt>
                <c:pt idx="42">
                  <c:v>31.687409517155182</c:v>
                </c:pt>
                <c:pt idx="43">
                  <c:v>31.248073261934667</c:v>
                </c:pt>
                <c:pt idx="44">
                  <c:v>30.798751720067351</c:v>
                </c:pt>
                <c:pt idx="45">
                  <c:v>30.449247801523725</c:v>
                </c:pt>
                <c:pt idx="46">
                  <c:v>30.034365175201721</c:v>
                </c:pt>
                <c:pt idx="47">
                  <c:v>29.468045277998428</c:v>
                </c:pt>
                <c:pt idx="48">
                  <c:v>28.92437516254865</c:v>
                </c:pt>
                <c:pt idx="49">
                  <c:v>28.398837549045286</c:v>
                </c:pt>
                <c:pt idx="50">
                  <c:v>27.860280082950108</c:v>
                </c:pt>
                <c:pt idx="51">
                  <c:v>27.32241791663391</c:v>
                </c:pt>
                <c:pt idx="52">
                  <c:v>26.759305892023363</c:v>
                </c:pt>
                <c:pt idx="53">
                  <c:v>26.165443734369994</c:v>
                </c:pt>
                <c:pt idx="54">
                  <c:v>25.554439815052323</c:v>
                </c:pt>
                <c:pt idx="55">
                  <c:v>24.944859256707716</c:v>
                </c:pt>
                <c:pt idx="56">
                  <c:v>24.299503648503194</c:v>
                </c:pt>
                <c:pt idx="57">
                  <c:v>23.617096148576113</c:v>
                </c:pt>
                <c:pt idx="58">
                  <c:v>22.883342690198191</c:v>
                </c:pt>
                <c:pt idx="59">
                  <c:v>22.150250927148164</c:v>
                </c:pt>
                <c:pt idx="60">
                  <c:v>21.273587671303904</c:v>
                </c:pt>
                <c:pt idx="61">
                  <c:v>20.902586323236779</c:v>
                </c:pt>
                <c:pt idx="62">
                  <c:v>20.659085445859226</c:v>
                </c:pt>
                <c:pt idx="63">
                  <c:v>20.355868094070843</c:v>
                </c:pt>
                <c:pt idx="64">
                  <c:v>20.22055996101443</c:v>
                </c:pt>
                <c:pt idx="65">
                  <c:v>20.096145818709779</c:v>
                </c:pt>
                <c:pt idx="66">
                  <c:v>19.92766984465176</c:v>
                </c:pt>
                <c:pt idx="67">
                  <c:v>19.626652699457949</c:v>
                </c:pt>
                <c:pt idx="68">
                  <c:v>18.594929331401559</c:v>
                </c:pt>
                <c:pt idx="69">
                  <c:v>17.647351766388358</c:v>
                </c:pt>
                <c:pt idx="70">
                  <c:v>17.552701081557981</c:v>
                </c:pt>
                <c:pt idx="71">
                  <c:v>17.678760782069869</c:v>
                </c:pt>
                <c:pt idx="72">
                  <c:v>17.627529768878631</c:v>
                </c:pt>
                <c:pt idx="73">
                  <c:v>17.426402469433199</c:v>
                </c:pt>
                <c:pt idx="74">
                  <c:v>16.863081483709585</c:v>
                </c:pt>
                <c:pt idx="75">
                  <c:v>15.620007884664322</c:v>
                </c:pt>
                <c:pt idx="76">
                  <c:v>14.181303432232092</c:v>
                </c:pt>
                <c:pt idx="77">
                  <c:v>13.137684179346092</c:v>
                </c:pt>
                <c:pt idx="78">
                  <c:v>12.709353371379056</c:v>
                </c:pt>
                <c:pt idx="79">
                  <c:v>12.350339081273514</c:v>
                </c:pt>
                <c:pt idx="80">
                  <c:v>12.463669765550497</c:v>
                </c:pt>
                <c:pt idx="81">
                  <c:v>12.83186272530625</c:v>
                </c:pt>
                <c:pt idx="82">
                  <c:v>13.029528982088747</c:v>
                </c:pt>
                <c:pt idx="83">
                  <c:v>11.793428667425328</c:v>
                </c:pt>
                <c:pt idx="84">
                  <c:v>10.347811388521189</c:v>
                </c:pt>
                <c:pt idx="85">
                  <c:v>9.213142126160621</c:v>
                </c:pt>
                <c:pt idx="86">
                  <c:v>9.0393457442379876</c:v>
                </c:pt>
                <c:pt idx="87">
                  <c:v>9.1279746838676896</c:v>
                </c:pt>
                <c:pt idx="88">
                  <c:v>9.6604995013668429</c:v>
                </c:pt>
                <c:pt idx="89">
                  <c:v>9.6821572951725923</c:v>
                </c:pt>
                <c:pt idx="90">
                  <c:v>10.45326558640763</c:v>
                </c:pt>
                <c:pt idx="91">
                  <c:v>10.442531302494281</c:v>
                </c:pt>
                <c:pt idx="92">
                  <c:v>10.451074721626163</c:v>
                </c:pt>
                <c:pt idx="93">
                  <c:v>10.444722167275742</c:v>
                </c:pt>
                <c:pt idx="94">
                  <c:v>10.4488838568447</c:v>
                </c:pt>
                <c:pt idx="95">
                  <c:v>10.446913032057207</c:v>
                </c:pt>
                <c:pt idx="96">
                  <c:v>10.446692992063234</c:v>
                </c:pt>
                <c:pt idx="97">
                  <c:v>10.449103896838672</c:v>
                </c:pt>
                <c:pt idx="98">
                  <c:v>10.444502127281769</c:v>
                </c:pt>
                <c:pt idx="99">
                  <c:v>10.451294761620133</c:v>
                </c:pt>
                <c:pt idx="100">
                  <c:v>10.442311262500304</c:v>
                </c:pt>
                <c:pt idx="101">
                  <c:v>10.453485626401708</c:v>
                </c:pt>
                <c:pt idx="102">
                  <c:v>10.44169455894647</c:v>
                </c:pt>
                <c:pt idx="103">
                  <c:v>10.45191146517382</c:v>
                </c:pt>
                <c:pt idx="104">
                  <c:v>10.443885423728233</c:v>
                </c:pt>
                <c:pt idx="105">
                  <c:v>10.44972060039205</c:v>
                </c:pt>
                <c:pt idx="106">
                  <c:v>10.446076288510003</c:v>
                </c:pt>
                <c:pt idx="107">
                  <c:v>10.447529735610285</c:v>
                </c:pt>
                <c:pt idx="108">
                  <c:v>10.448267153291786</c:v>
                </c:pt>
                <c:pt idx="109">
                  <c:v>10.445338870828504</c:v>
                </c:pt>
                <c:pt idx="110">
                  <c:v>10.125212436046409</c:v>
                </c:pt>
                <c:pt idx="111">
                  <c:v>8.6256147387355746</c:v>
                </c:pt>
                <c:pt idx="112">
                  <c:v>7.2777108964228692</c:v>
                </c:pt>
                <c:pt idx="113">
                  <c:v>7.3488297049937579</c:v>
                </c:pt>
                <c:pt idx="114">
                  <c:v>7.8818249327266869</c:v>
                </c:pt>
                <c:pt idx="115">
                  <c:v>8.7109820810565619</c:v>
                </c:pt>
                <c:pt idx="116">
                  <c:v>8.1010218452350955</c:v>
                </c:pt>
                <c:pt idx="117">
                  <c:v>9.1105853102206904</c:v>
                </c:pt>
                <c:pt idx="11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B92-43EF-8B00-39A778100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Base!$G$1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FCF-4386-869F-5835777544B2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FCF-4386-869F-5835777544B2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FCF-4386-869F-5835777544B2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FCF-4386-869F-5835777544B2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FCF-4386-869F-5835777544B2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FCF-4386-869F-5835777544B2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FCF-4386-869F-5835777544B2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FCF-4386-869F-5835777544B2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FCF-4386-869F-5835777544B2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FCF-4386-869F-5835777544B2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FCF-4386-869F-5835777544B2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FCF-4386-869F-5835777544B2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FCF-4386-869F-5835777544B2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FCF-4386-869F-5835777544B2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FCF-4386-869F-5835777544B2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FCF-4386-869F-5835777544B2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FCF-4386-869F-5835777544B2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FCF-4386-869F-5835777544B2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FCF-4386-869F-5835777544B2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FCF-4386-869F-5835777544B2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E112-453D-97F4-D27F3C335708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E112-453D-97F4-D27F3C335708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E112-453D-97F4-D27F3C335708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112-453D-97F4-D27F3C335708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E112-453D-97F4-D27F3C335708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E112-453D-97F4-D27F3C335708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E112-453D-97F4-D27F3C335708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E112-453D-97F4-D27F3C335708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E112-453D-97F4-D27F3C335708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E112-453D-97F4-D27F3C335708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E112-453D-97F4-D27F3C335708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E112-453D-97F4-D27F3C335708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E112-453D-97F4-D27F3C335708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E112-453D-97F4-D27F3C335708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E112-453D-97F4-D27F3C335708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E112-453D-97F4-D27F3C335708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E112-453D-97F4-D27F3C335708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E112-453D-97F4-D27F3C335708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E112-453D-97F4-D27F3C335708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E112-453D-97F4-D27F3C335708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E112-453D-97F4-D27F3C335708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E112-453D-97F4-D27F3C335708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E112-453D-97F4-D27F3C335708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E112-453D-97F4-D27F3C335708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E112-453D-97F4-D27F3C335708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E112-453D-97F4-D27F3C335708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E112-453D-97F4-D27F3C335708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E112-453D-97F4-D27F3C335708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E112-453D-97F4-D27F3C335708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E112-453D-97F4-D27F3C335708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E112-453D-97F4-D27F3C335708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E112-453D-97F4-D27F3C335708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E112-453D-97F4-D27F3C335708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E112-453D-97F4-D27F3C335708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E112-453D-97F4-D27F3C335708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E112-453D-97F4-D27F3C335708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E112-453D-97F4-D27F3C335708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E112-453D-97F4-D27F3C335708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E112-453D-97F4-D27F3C335708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E112-453D-97F4-D27F3C335708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</c:numCache>
            </c:numRef>
          </c:xVal>
          <c:yVal>
            <c:numRef>
              <c:f>Base!$I$2:$I$61</c:f>
              <c:numCache>
                <c:formatCode>General</c:formatCode>
                <c:ptCount val="60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tx>
            <c:v>Arch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Arch!$G$2:$G$120</c:f>
              <c:numCache>
                <c:formatCode>General</c:formatCode>
                <c:ptCount val="119"/>
                <c:pt idx="0">
                  <c:v>-3.7838298576719716</c:v>
                </c:pt>
                <c:pt idx="1">
                  <c:v>-3.8131443894951689</c:v>
                </c:pt>
                <c:pt idx="2">
                  <c:v>-3.8607860285616491</c:v>
                </c:pt>
                <c:pt idx="3">
                  <c:v>-3.9188112700790674</c:v>
                </c:pt>
                <c:pt idx="4">
                  <c:v>-3.984840869706582</c:v>
                </c:pt>
                <c:pt idx="5">
                  <c:v>-4.0432970496456226</c:v>
                </c:pt>
                <c:pt idx="6">
                  <c:v>-4.065907289894918</c:v>
                </c:pt>
                <c:pt idx="7">
                  <c:v>-4.0233336052813238</c:v>
                </c:pt>
                <c:pt idx="8">
                  <c:v>-3.954967524428544</c:v>
                </c:pt>
                <c:pt idx="9">
                  <c:v>-3.950256108551446</c:v>
                </c:pt>
                <c:pt idx="10">
                  <c:v>-3.8233531323330587</c:v>
                </c:pt>
                <c:pt idx="11">
                  <c:v>-3.6497655924563128</c:v>
                </c:pt>
                <c:pt idx="12">
                  <c:v>-3.4461445173873235</c:v>
                </c:pt>
                <c:pt idx="13">
                  <c:v>-3.2849174790861473</c:v>
                </c:pt>
                <c:pt idx="14">
                  <c:v>-3.2656997826731424</c:v>
                </c:pt>
                <c:pt idx="15">
                  <c:v>-3.5179880430728394</c:v>
                </c:pt>
                <c:pt idx="16">
                  <c:v>-3.8771037630609366</c:v>
                </c:pt>
                <c:pt idx="17">
                  <c:v>-4.1962096457683877</c:v>
                </c:pt>
                <c:pt idx="18">
                  <c:v>-4.5051261072132762</c:v>
                </c:pt>
                <c:pt idx="19">
                  <c:v>-4.4906430711018501</c:v>
                </c:pt>
                <c:pt idx="20">
                  <c:v>-4.4970181253158028</c:v>
                </c:pt>
                <c:pt idx="21">
                  <c:v>-4.5589589277907203</c:v>
                </c:pt>
                <c:pt idx="22">
                  <c:v>-4.5434320722488533</c:v>
                </c:pt>
                <c:pt idx="23">
                  <c:v>-4.6062746151618601</c:v>
                </c:pt>
                <c:pt idx="24">
                  <c:v>-4.6998745641485895</c:v>
                </c:pt>
                <c:pt idx="25">
                  <c:v>-4.7222737547462943</c:v>
                </c:pt>
                <c:pt idx="26">
                  <c:v>-4.7303815648589707</c:v>
                </c:pt>
                <c:pt idx="27">
                  <c:v>-4.8020920119080248</c:v>
                </c:pt>
                <c:pt idx="28">
                  <c:v>-4.8102518205416853</c:v>
                </c:pt>
                <c:pt idx="29">
                  <c:v>-4.8267938702636313</c:v>
                </c:pt>
                <c:pt idx="30">
                  <c:v>-4.8497132283936359</c:v>
                </c:pt>
                <c:pt idx="31">
                  <c:v>-5.0467239302723588</c:v>
                </c:pt>
                <c:pt idx="32">
                  <c:v>-5.1203544869356357</c:v>
                </c:pt>
                <c:pt idx="33">
                  <c:v>-5.1459233859640356</c:v>
                </c:pt>
                <c:pt idx="34">
                  <c:v>-5.2146642956777924</c:v>
                </c:pt>
                <c:pt idx="35">
                  <c:v>-5.2130888285899122</c:v>
                </c:pt>
                <c:pt idx="36">
                  <c:v>-5.2741648427603014</c:v>
                </c:pt>
                <c:pt idx="37">
                  <c:v>-5.3181135022530484</c:v>
                </c:pt>
                <c:pt idx="38">
                  <c:v>-5.3457050919740539</c:v>
                </c:pt>
                <c:pt idx="39">
                  <c:v>-5.4198006421718947</c:v>
                </c:pt>
                <c:pt idx="40">
                  <c:v>-5.4735906878860536</c:v>
                </c:pt>
                <c:pt idx="41">
                  <c:v>-5.5325448429423867</c:v>
                </c:pt>
                <c:pt idx="42">
                  <c:v>-5.5927440194246358</c:v>
                </c:pt>
                <c:pt idx="43">
                  <c:v>-5.6641568434297769</c:v>
                </c:pt>
                <c:pt idx="44">
                  <c:v>-5.7421790179141903</c:v>
                </c:pt>
                <c:pt idx="45">
                  <c:v>-5.7757422567665415</c:v>
                </c:pt>
                <c:pt idx="46">
                  <c:v>-5.8411205688658656</c:v>
                </c:pt>
                <c:pt idx="47">
                  <c:v>-5.9738103098756348</c:v>
                </c:pt>
                <c:pt idx="48">
                  <c:v>-6.010756249765997</c:v>
                </c:pt>
                <c:pt idx="49">
                  <c:v>-5.9947201110747663</c:v>
                </c:pt>
                <c:pt idx="50">
                  <c:v>-5.9770611031010308</c:v>
                </c:pt>
                <c:pt idx="51">
                  <c:v>-5.9594169450661285</c:v>
                </c:pt>
                <c:pt idx="52">
                  <c:v>-5.9477151568154767</c:v>
                </c:pt>
                <c:pt idx="53">
                  <c:v>-5.9412621628107196</c:v>
                </c:pt>
                <c:pt idx="54">
                  <c:v>-5.9367473060387104</c:v>
                </c:pt>
                <c:pt idx="55">
                  <c:v>-5.9327924267352463</c:v>
                </c:pt>
                <c:pt idx="56">
                  <c:v>-5.9311845947123718</c:v>
                </c:pt>
                <c:pt idx="57">
                  <c:v>-5.9316513288312134</c:v>
                </c:pt>
                <c:pt idx="58">
                  <c:v>-5.9642966332241594</c:v>
                </c:pt>
                <c:pt idx="59">
                  <c:v>-6.173663857190185</c:v>
                </c:pt>
                <c:pt idx="60">
                  <c:v>-6.3462792995071062</c:v>
                </c:pt>
                <c:pt idx="61">
                  <c:v>-6.5060855474357799</c:v>
                </c:pt>
                <c:pt idx="62">
                  <c:v>-6.642353847965409</c:v>
                </c:pt>
                <c:pt idx="63">
                  <c:v>-6.8081637703669227</c:v>
                </c:pt>
                <c:pt idx="64">
                  <c:v>-6.95688219084371</c:v>
                </c:pt>
                <c:pt idx="65">
                  <c:v>-7.0291302128025519</c:v>
                </c:pt>
                <c:pt idx="66">
                  <c:v>-7.1075655614317164</c:v>
                </c:pt>
                <c:pt idx="67">
                  <c:v>-7.196449625628798</c:v>
                </c:pt>
                <c:pt idx="68">
                  <c:v>-7.3793842013848252</c:v>
                </c:pt>
                <c:pt idx="69">
                  <c:v>-7.524612153419989</c:v>
                </c:pt>
                <c:pt idx="70">
                  <c:v>-7.4950970739921878</c:v>
                </c:pt>
                <c:pt idx="71">
                  <c:v>-7.5009471189238788</c:v>
                </c:pt>
                <c:pt idx="72">
                  <c:v>-7.4255048394966501</c:v>
                </c:pt>
                <c:pt idx="73">
                  <c:v>-7.3595931872289286</c:v>
                </c:pt>
                <c:pt idx="74">
                  <c:v>-7.544358000322843</c:v>
                </c:pt>
                <c:pt idx="75">
                  <c:v>-7.8311787282194478</c:v>
                </c:pt>
                <c:pt idx="76">
                  <c:v>-7.9649374559350798</c:v>
                </c:pt>
                <c:pt idx="77">
                  <c:v>-7.9043198586135475</c:v>
                </c:pt>
                <c:pt idx="78">
                  <c:v>-7.8295478674430221</c:v>
                </c:pt>
                <c:pt idx="79">
                  <c:v>-7.3188983630736786</c:v>
                </c:pt>
                <c:pt idx="80">
                  <c:v>-7.0055201736597521</c:v>
                </c:pt>
                <c:pt idx="81">
                  <c:v>-6.6323817839237389</c:v>
                </c:pt>
                <c:pt idx="82">
                  <c:v>-6.2117835280822948</c:v>
                </c:pt>
                <c:pt idx="83">
                  <c:v>-6.7834318816123069</c:v>
                </c:pt>
                <c:pt idx="84">
                  <c:v>-7.0965479736732435</c:v>
                </c:pt>
                <c:pt idx="85">
                  <c:v>-7.0097378403216188</c:v>
                </c:pt>
                <c:pt idx="86">
                  <c:v>-6.5680696682567588</c:v>
                </c:pt>
                <c:pt idx="87">
                  <c:v>-6.1459035296846469</c:v>
                </c:pt>
                <c:pt idx="88">
                  <c:v>-5.699509349937717</c:v>
                </c:pt>
                <c:pt idx="89">
                  <c:v>-5.2451429916010559</c:v>
                </c:pt>
                <c:pt idx="90">
                  <c:v>-4.7261141622650147</c:v>
                </c:pt>
                <c:pt idx="91">
                  <c:v>-4.7306106178800551</c:v>
                </c:pt>
                <c:pt idx="92">
                  <c:v>-4.7270318877814956</c:v>
                </c:pt>
                <c:pt idx="93">
                  <c:v>-4.7296928923635768</c:v>
                </c:pt>
                <c:pt idx="94">
                  <c:v>-4.727949613297973</c:v>
                </c:pt>
                <c:pt idx="95">
                  <c:v>-4.7287751668470985</c:v>
                </c:pt>
                <c:pt idx="96">
                  <c:v>-4.7288673388144531</c:v>
                </c:pt>
                <c:pt idx="97">
                  <c:v>-4.7278574413306185</c:v>
                </c:pt>
                <c:pt idx="98">
                  <c:v>-4.7297850643309314</c:v>
                </c:pt>
                <c:pt idx="99">
                  <c:v>-4.7269397158141429</c:v>
                </c:pt>
                <c:pt idx="100">
                  <c:v>-4.7307027898474105</c:v>
                </c:pt>
                <c:pt idx="101">
                  <c:v>-4.7260219902976166</c:v>
                </c:pt>
                <c:pt idx="102">
                  <c:v>-4.7309611191574819</c:v>
                </c:pt>
                <c:pt idx="103">
                  <c:v>-4.7266813865041311</c:v>
                </c:pt>
                <c:pt idx="104">
                  <c:v>-4.7300433936408783</c:v>
                </c:pt>
                <c:pt idx="105">
                  <c:v>-4.727599112020739</c:v>
                </c:pt>
                <c:pt idx="106">
                  <c:v>-4.7291256681242713</c:v>
                </c:pt>
                <c:pt idx="107">
                  <c:v>-4.7285168375373425</c:v>
                </c:pt>
                <c:pt idx="108">
                  <c:v>-4.7282079426076606</c:v>
                </c:pt>
                <c:pt idx="109">
                  <c:v>-4.729434563053954</c:v>
                </c:pt>
                <c:pt idx="110">
                  <c:v>-4.8262488355298254</c:v>
                </c:pt>
                <c:pt idx="111">
                  <c:v>-5.0669446160444629</c:v>
                </c:pt>
                <c:pt idx="112">
                  <c:v>-4.7974044527719046</c:v>
                </c:pt>
                <c:pt idx="113">
                  <c:v>-4.2853790297980385</c:v>
                </c:pt>
                <c:pt idx="114">
                  <c:v>-3.6961647654295051</c:v>
                </c:pt>
                <c:pt idx="115">
                  <c:v>-3.0706497404665223</c:v>
                </c:pt>
                <c:pt idx="116">
                  <c:v>-2.8077231344722966</c:v>
                </c:pt>
                <c:pt idx="117">
                  <c:v>-2.074784656018227</c:v>
                </c:pt>
                <c:pt idx="118">
                  <c:v>-1.764511022728896</c:v>
                </c:pt>
              </c:numCache>
            </c:numRef>
          </c:xVal>
          <c:yVal>
            <c:numRef>
              <c:f>Arch!$I$2:$I$120</c:f>
              <c:numCache>
                <c:formatCode>General</c:formatCode>
                <c:ptCount val="119"/>
                <c:pt idx="0">
                  <c:v>0.46405775722723652</c:v>
                </c:pt>
                <c:pt idx="1">
                  <c:v>1.2383259323481755</c:v>
                </c:pt>
                <c:pt idx="2">
                  <c:v>2.0023783915429614</c:v>
                </c:pt>
                <c:pt idx="3">
                  <c:v>2.7626295603015825</c:v>
                </c:pt>
                <c:pt idx="4">
                  <c:v>3.5163084260374329</c:v>
                </c:pt>
                <c:pt idx="5">
                  <c:v>4.2569094285887017</c:v>
                </c:pt>
                <c:pt idx="6">
                  <c:v>5.0097597941938918</c:v>
                </c:pt>
                <c:pt idx="7">
                  <c:v>5.760751110056102</c:v>
                </c:pt>
                <c:pt idx="8">
                  <c:v>6.5317115610237879</c:v>
                </c:pt>
                <c:pt idx="9">
                  <c:v>7.2419962744591588</c:v>
                </c:pt>
                <c:pt idx="10">
                  <c:v>7.9751118795383844</c:v>
                </c:pt>
                <c:pt idx="11">
                  <c:v>8.7127470155278743</c:v>
                </c:pt>
                <c:pt idx="12">
                  <c:v>9.4577444588077899</c:v>
                </c:pt>
                <c:pt idx="13">
                  <c:v>10.216994920510437</c:v>
                </c:pt>
                <c:pt idx="14">
                  <c:v>10.972750496085112</c:v>
                </c:pt>
                <c:pt idx="15">
                  <c:v>11.539361853505397</c:v>
                </c:pt>
                <c:pt idx="16">
                  <c:v>11.696668914516664</c:v>
                </c:pt>
                <c:pt idx="17">
                  <c:v>11.788382676882955</c:v>
                </c:pt>
                <c:pt idx="18">
                  <c:v>12.146503985500914</c:v>
                </c:pt>
                <c:pt idx="19">
                  <c:v>12.914137580081288</c:v>
                </c:pt>
                <c:pt idx="20">
                  <c:v>13.669010295363153</c:v>
                </c:pt>
                <c:pt idx="21">
                  <c:v>14.254679946403305</c:v>
                </c:pt>
                <c:pt idx="22">
                  <c:v>14.974123889630617</c:v>
                </c:pt>
                <c:pt idx="23">
                  <c:v>15.669907904564305</c:v>
                </c:pt>
                <c:pt idx="24">
                  <c:v>16.334304863878202</c:v>
                </c:pt>
                <c:pt idx="25">
                  <c:v>17.061308667252284</c:v>
                </c:pt>
                <c:pt idx="26">
                  <c:v>17.798645612345101</c:v>
                </c:pt>
                <c:pt idx="27">
                  <c:v>18.462487983004216</c:v>
                </c:pt>
                <c:pt idx="28">
                  <c:v>19.204428205005705</c:v>
                </c:pt>
                <c:pt idx="29">
                  <c:v>19.939402611703152</c:v>
                </c:pt>
                <c:pt idx="30">
                  <c:v>20.671427755701853</c:v>
                </c:pt>
                <c:pt idx="31">
                  <c:v>21.201062291768604</c:v>
                </c:pt>
                <c:pt idx="32">
                  <c:v>21.876834397102073</c:v>
                </c:pt>
                <c:pt idx="33">
                  <c:v>22.591225555805668</c:v>
                </c:pt>
                <c:pt idx="34">
                  <c:v>23.2765562136989</c:v>
                </c:pt>
                <c:pt idx="35">
                  <c:v>23.986575784782481</c:v>
                </c:pt>
                <c:pt idx="36">
                  <c:v>24.631818081052621</c:v>
                </c:pt>
                <c:pt idx="37">
                  <c:v>25.295330317473656</c:v>
                </c:pt>
                <c:pt idx="38">
                  <c:v>25.972200736383797</c:v>
                </c:pt>
                <c:pt idx="39">
                  <c:v>26.605783957972243</c:v>
                </c:pt>
                <c:pt idx="40">
                  <c:v>27.258429402232562</c:v>
                </c:pt>
                <c:pt idx="41">
                  <c:v>27.908508649874477</c:v>
                </c:pt>
                <c:pt idx="42">
                  <c:v>28.55828522335004</c:v>
                </c:pt>
                <c:pt idx="43">
                  <c:v>29.193870839981329</c:v>
                </c:pt>
                <c:pt idx="44">
                  <c:v>29.823297273914132</c:v>
                </c:pt>
                <c:pt idx="45">
                  <c:v>30.512990696707011</c:v>
                </c:pt>
                <c:pt idx="46">
                  <c:v>31.162703957516307</c:v>
                </c:pt>
                <c:pt idx="47">
                  <c:v>31.676345986702412</c:v>
                </c:pt>
                <c:pt idx="48">
                  <c:v>32.226251494694381</c:v>
                </c:pt>
                <c:pt idx="49">
                  <c:v>32.797553259187204</c:v>
                </c:pt>
                <c:pt idx="50">
                  <c:v>33.357480316598682</c:v>
                </c:pt>
                <c:pt idx="51">
                  <c:v>33.916727207393585</c:v>
                </c:pt>
                <c:pt idx="52">
                  <c:v>34.450674708972414</c:v>
                </c:pt>
                <c:pt idx="53">
                  <c:v>34.95216197402894</c:v>
                </c:pt>
                <c:pt idx="54">
                  <c:v>35.432199401851207</c:v>
                </c:pt>
                <c:pt idx="55">
                  <c:v>35.91416396456723</c:v>
                </c:pt>
                <c:pt idx="56">
                  <c:v>36.347404376863757</c:v>
                </c:pt>
                <c:pt idx="57">
                  <c:v>36.718456512941579</c:v>
                </c:pt>
                <c:pt idx="58">
                  <c:v>36.9570051349925</c:v>
                </c:pt>
                <c:pt idx="59">
                  <c:v>36.891185867610552</c:v>
                </c:pt>
                <c:pt idx="60">
                  <c:v>35.679174033353391</c:v>
                </c:pt>
                <c:pt idx="61">
                  <c:v>34.182800325781386</c:v>
                </c:pt>
                <c:pt idx="62">
                  <c:v>32.66652726028137</c:v>
                </c:pt>
                <c:pt idx="63">
                  <c:v>31.187377128431045</c:v>
                </c:pt>
                <c:pt idx="64">
                  <c:v>29.762643536734473</c:v>
                </c:pt>
                <c:pt idx="65">
                  <c:v>28.230186513193136</c:v>
                </c:pt>
                <c:pt idx="66">
                  <c:v>26.70299918479666</c:v>
                </c:pt>
                <c:pt idx="67">
                  <c:v>25.195434680425393</c:v>
                </c:pt>
                <c:pt idx="68">
                  <c:v>24.216095462323594</c:v>
                </c:pt>
                <c:pt idx="69">
                  <c:v>23.070206504966087</c:v>
                </c:pt>
                <c:pt idx="70">
                  <c:v>21.536587418236536</c:v>
                </c:pt>
                <c:pt idx="71">
                  <c:v>19.997950871973938</c:v>
                </c:pt>
                <c:pt idx="72">
                  <c:v>18.451548093460577</c:v>
                </c:pt>
                <c:pt idx="73">
                  <c:v>16.919705250272518</c:v>
                </c:pt>
                <c:pt idx="74">
                  <c:v>16.844340690943806</c:v>
                </c:pt>
                <c:pt idx="75">
                  <c:v>17.704465341732721</c:v>
                </c:pt>
                <c:pt idx="76">
                  <c:v>18.191016314732337</c:v>
                </c:pt>
                <c:pt idx="77">
                  <c:v>17.173508617662741</c:v>
                </c:pt>
                <c:pt idx="78">
                  <c:v>15.685753586041667</c:v>
                </c:pt>
                <c:pt idx="79">
                  <c:v>14.275044141228747</c:v>
                </c:pt>
                <c:pt idx="80">
                  <c:v>12.774336706039614</c:v>
                </c:pt>
                <c:pt idx="81">
                  <c:v>11.335703035899147</c:v>
                </c:pt>
                <c:pt idx="82">
                  <c:v>10.063824806927144</c:v>
                </c:pt>
                <c:pt idx="83">
                  <c:v>10.754707502887436</c:v>
                </c:pt>
                <c:pt idx="84">
                  <c:v>11.201049377494256</c:v>
                </c:pt>
                <c:pt idx="85">
                  <c:v>10.525611101847611</c:v>
                </c:pt>
                <c:pt idx="86">
                  <c:v>9.0555807851379342</c:v>
                </c:pt>
                <c:pt idx="87">
                  <c:v>7.5758152995255568</c:v>
                </c:pt>
                <c:pt idx="88">
                  <c:v>6.2093984452955331</c:v>
                </c:pt>
                <c:pt idx="89">
                  <c:v>4.9824187477082731</c:v>
                </c:pt>
                <c:pt idx="90">
                  <c:v>4.1558311105980463</c:v>
                </c:pt>
                <c:pt idx="91">
                  <c:v>4.1782940517016698</c:v>
                </c:pt>
                <c:pt idx="92">
                  <c:v>4.1604157915091697</c:v>
                </c:pt>
                <c:pt idx="93">
                  <c:v>4.1737093707905579</c:v>
                </c:pt>
                <c:pt idx="94">
                  <c:v>4.1650004724202816</c:v>
                </c:pt>
                <c:pt idx="95">
                  <c:v>4.1691246898794398</c:v>
                </c:pt>
                <c:pt idx="96">
                  <c:v>4.1695851533314006</c:v>
                </c:pt>
                <c:pt idx="97">
                  <c:v>4.1645400089683218</c:v>
                </c:pt>
                <c:pt idx="98">
                  <c:v>4.1741698342425178</c:v>
                </c:pt>
                <c:pt idx="99">
                  <c:v>4.159955328057217</c:v>
                </c:pt>
                <c:pt idx="100">
                  <c:v>4.1787545151536358</c:v>
                </c:pt>
                <c:pt idx="101">
                  <c:v>4.1553706471458653</c:v>
                </c:pt>
                <c:pt idx="102">
                  <c:v>4.180045050760854</c:v>
                </c:pt>
                <c:pt idx="103">
                  <c:v>4.1586647924503044</c:v>
                </c:pt>
                <c:pt idx="104">
                  <c:v>4.1754603698491115</c:v>
                </c:pt>
                <c:pt idx="105">
                  <c:v>4.1632494733620602</c:v>
                </c:pt>
                <c:pt idx="106">
                  <c:v>4.1708756889373557</c:v>
                </c:pt>
                <c:pt idx="107">
                  <c:v>4.1678341542738035</c:v>
                </c:pt>
                <c:pt idx="108">
                  <c:v>4.1662910080255759</c:v>
                </c:pt>
                <c:pt idx="109">
                  <c:v>4.1724188351855833</c:v>
                </c:pt>
                <c:pt idx="110">
                  <c:v>4.1776919099424896</c:v>
                </c:pt>
                <c:pt idx="111">
                  <c:v>4.2838897804588001</c:v>
                </c:pt>
                <c:pt idx="112">
                  <c:v>3.9554600631995571</c:v>
                </c:pt>
                <c:pt idx="113">
                  <c:v>2.5193070321776938</c:v>
                </c:pt>
                <c:pt idx="114">
                  <c:v>1.2077093603054774</c:v>
                </c:pt>
                <c:pt idx="115">
                  <c:v>0.1095106650423701</c:v>
                </c:pt>
                <c:pt idx="116">
                  <c:v>-1.0459082041578225</c:v>
                </c:pt>
                <c:pt idx="117">
                  <c:v>-1.901553113980615</c:v>
                </c:pt>
                <c:pt idx="118">
                  <c:v>-3.3652014668132231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FCF-4386-869F-5835777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E43-476D-B1CE-56F357F502DD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E43-476D-B1CE-56F357F502DD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E43-476D-B1CE-56F357F502DD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E43-476D-B1CE-56F357F502DD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E43-476D-B1CE-56F357F502DD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E43-476D-B1CE-56F357F502DD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E43-476D-B1CE-56F357F502DD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E43-476D-B1CE-56F357F502DD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E43-476D-B1CE-56F357F502DD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E43-476D-B1CE-56F357F502DD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E43-476D-B1CE-56F357F502DD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E43-476D-B1CE-56F357F502DD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E43-476D-B1CE-56F357F502DD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E43-476D-B1CE-56F357F502DD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E43-476D-B1CE-56F357F502DD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3E43-476D-B1CE-56F357F502DD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3E43-476D-B1CE-56F357F502DD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3E43-476D-B1CE-56F357F502DD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3E43-476D-B1CE-56F357F502DD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9C4E-4E76-B33E-BE5485487B01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9C4E-4E76-B33E-BE5485487B01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9C4E-4E76-B33E-BE5485487B01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9C4E-4E76-B33E-BE5485487B01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9C4E-4E76-B33E-BE5485487B01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9C4E-4E76-B33E-BE5485487B01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9C4E-4E76-B33E-BE5485487B01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9C4E-4E76-B33E-BE5485487B01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9C4E-4E76-B33E-BE5485487B01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9C4E-4E76-B33E-BE5485487B01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9C4E-4E76-B33E-BE5485487B01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9C4E-4E76-B33E-BE5485487B01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9C4E-4E76-B33E-BE5485487B01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9C4E-4E76-B33E-BE5485487B01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9C4E-4E76-B33E-BE5485487B01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9C4E-4E76-B33E-BE5485487B01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9C4E-4E76-B33E-BE5485487B01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9C4E-4E76-B33E-BE5485487B01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9C4E-4E76-B33E-BE5485487B01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9C4E-4E76-B33E-BE5485487B01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9C4E-4E76-B33E-BE5485487B01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9C4E-4E76-B33E-BE5485487B01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9C4E-4E76-B33E-BE5485487B01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9C4E-4E76-B33E-BE5485487B01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9C4E-4E76-B33E-BE5485487B01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9C4E-4E76-B33E-BE5485487B01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9C4E-4E76-B33E-BE5485487B01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9C4E-4E76-B33E-BE5485487B01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9C4E-4E76-B33E-BE5485487B01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9C4E-4E76-B33E-BE5485487B01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9C4E-4E76-B33E-BE5485487B01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9C4E-4E76-B33E-BE5485487B01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9C4E-4E76-B33E-BE5485487B01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9C4E-4E76-B33E-BE5485487B01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9C4E-4E76-B33E-BE5485487B01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9C4E-4E76-B33E-BE5485487B01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9C4E-4E76-B33E-BE5485487B01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9C4E-4E76-B33E-BE5485487B01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9C4E-4E76-B33E-BE5485487B01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9C4E-4E76-B33E-BE5485487B01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2807-4026-A6FD-A5B644C0D54B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2807-4026-A6FD-A5B644C0D54B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2807-4026-A6FD-A5B644C0D54B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2807-4026-A6FD-A5B644C0D54B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2807-4026-A6FD-A5B644C0D54B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2807-4026-A6FD-A5B644C0D54B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2807-4026-A6FD-A5B644C0D54B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2807-4026-A6FD-A5B644C0D54B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2807-4026-A6FD-A5B644C0D54B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2807-4026-A6FD-A5B644C0D54B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2807-4026-A6FD-A5B644C0D54B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2807-4026-A6FD-A5B644C0D54B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2807-4026-A6FD-A5B644C0D54B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2807-4026-A6FD-A5B644C0D54B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2807-4026-A6FD-A5B644C0D54B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2807-4026-A6FD-A5B644C0D54B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2807-4026-A6FD-A5B644C0D54B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2807-4026-A6FD-A5B644C0D54B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2807-4026-A6FD-A5B644C0D54B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2807-4026-A6FD-A5B644C0D54B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2807-4026-A6FD-A5B644C0D54B}"/>
              </c:ext>
            </c:extLst>
          </c:dPt>
          <c:dPt>
            <c:idx val="80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2807-4026-A6FD-A5B644C0D54B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2807-4026-A6FD-A5B644C0D54B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2807-4026-A6FD-A5B644C0D54B}"/>
              </c:ext>
            </c:extLst>
          </c:dPt>
          <c:dPt>
            <c:idx val="83"/>
            <c:marker>
              <c:symbol val="circle"/>
              <c:size val="10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2807-4026-A6FD-A5B644C0D54B}"/>
              </c:ext>
            </c:extLst>
          </c:dPt>
          <c:dPt>
            <c:idx val="84"/>
            <c:marker>
              <c:symbol val="circle"/>
              <c:size val="10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2807-4026-A6FD-A5B644C0D54B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2807-4026-A6FD-A5B644C0D54B}"/>
              </c:ext>
            </c:extLst>
          </c:dPt>
          <c:dPt>
            <c:idx val="86"/>
            <c:marker>
              <c:symbol val="circle"/>
              <c:size val="10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2807-4026-A6FD-A5B644C0D54B}"/>
              </c:ext>
            </c:extLst>
          </c:dPt>
          <c:dPt>
            <c:idx val="87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2807-4026-A6FD-A5B644C0D54B}"/>
              </c:ext>
            </c:extLst>
          </c:dPt>
          <c:dPt>
            <c:idx val="88"/>
            <c:marker>
              <c:symbol val="circle"/>
              <c:size val="10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2807-4026-A6FD-A5B644C0D54B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2807-4026-A6FD-A5B644C0D54B}"/>
              </c:ext>
            </c:extLst>
          </c:dPt>
          <c:dPt>
            <c:idx val="9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2807-4026-A6FD-A5B644C0D54B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2807-4026-A6FD-A5B644C0D54B}"/>
              </c:ext>
            </c:extLst>
          </c:dPt>
          <c:dPt>
            <c:idx val="92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2807-4026-A6FD-A5B644C0D54B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2807-4026-A6FD-A5B644C0D54B}"/>
              </c:ext>
            </c:extLst>
          </c:dPt>
          <c:dPt>
            <c:idx val="94"/>
            <c:marker>
              <c:symbol val="circle"/>
              <c:size val="10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2807-4026-A6FD-A5B644C0D54B}"/>
              </c:ext>
            </c:extLst>
          </c:dPt>
          <c:dPt>
            <c:idx val="95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2807-4026-A6FD-A5B644C0D54B}"/>
              </c:ext>
            </c:extLst>
          </c:dPt>
          <c:dPt>
            <c:idx val="96"/>
            <c:marker>
              <c:symbol val="circle"/>
              <c:size val="10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2807-4026-A6FD-A5B644C0D54B}"/>
              </c:ext>
            </c:extLst>
          </c:dPt>
          <c:dPt>
            <c:idx val="97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2807-4026-A6FD-A5B644C0D54B}"/>
              </c:ext>
            </c:extLst>
          </c:dPt>
          <c:dPt>
            <c:idx val="98"/>
            <c:marker>
              <c:symbol val="circle"/>
              <c:size val="10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2807-4026-A6FD-A5B644C0D54B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2807-4026-A6FD-A5B644C0D54B}"/>
              </c:ext>
            </c:extLst>
          </c:dPt>
          <c:dPt>
            <c:idx val="100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2807-4026-A6FD-A5B644C0D54B}"/>
              </c:ext>
            </c:extLst>
          </c:dPt>
          <c:dPt>
            <c:idx val="101"/>
            <c:marker>
              <c:symbol val="circle"/>
              <c:size val="10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2807-4026-A6FD-A5B644C0D54B}"/>
              </c:ext>
            </c:extLst>
          </c:dPt>
          <c:dPt>
            <c:idx val="102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2807-4026-A6FD-A5B644C0D54B}"/>
              </c:ext>
            </c:extLst>
          </c:dPt>
          <c:dPt>
            <c:idx val="103"/>
            <c:marker>
              <c:symbol val="circle"/>
              <c:size val="10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2807-4026-A6FD-A5B644C0D54B}"/>
              </c:ext>
            </c:extLst>
          </c:dPt>
          <c:dPt>
            <c:idx val="104"/>
            <c:marker>
              <c:symbol val="circle"/>
              <c:size val="10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2807-4026-A6FD-A5B644C0D54B}"/>
              </c:ext>
            </c:extLst>
          </c:dPt>
          <c:dPt>
            <c:idx val="105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2807-4026-A6FD-A5B644C0D54B}"/>
              </c:ext>
            </c:extLst>
          </c:dPt>
          <c:dPt>
            <c:idx val="106"/>
            <c:marker>
              <c:symbol val="circle"/>
              <c:size val="10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2807-4026-A6FD-A5B644C0D54B}"/>
              </c:ext>
            </c:extLst>
          </c:dPt>
          <c:dPt>
            <c:idx val="10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2807-4026-A6FD-A5B644C0D54B}"/>
              </c:ext>
            </c:extLst>
          </c:dPt>
          <c:dPt>
            <c:idx val="108"/>
            <c:marker>
              <c:symbol val="circle"/>
              <c:size val="10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2807-4026-A6FD-A5B644C0D54B}"/>
              </c:ext>
            </c:extLst>
          </c:dPt>
          <c:dPt>
            <c:idx val="109"/>
            <c:marker>
              <c:symbol val="circle"/>
              <c:size val="10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2807-4026-A6FD-A5B644C0D54B}"/>
              </c:ext>
            </c:extLst>
          </c:dPt>
          <c:dPt>
            <c:idx val="110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2807-4026-A6FD-A5B644C0D54B}"/>
              </c:ext>
            </c:extLst>
          </c:dPt>
          <c:dPt>
            <c:idx val="111"/>
            <c:marker>
              <c:symbol val="circle"/>
              <c:size val="10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2807-4026-A6FD-A5B644C0D54B}"/>
              </c:ext>
            </c:extLst>
          </c:dPt>
          <c:dPt>
            <c:idx val="112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2807-4026-A6FD-A5B644C0D54B}"/>
              </c:ext>
            </c:extLst>
          </c:dPt>
          <c:dPt>
            <c:idx val="113"/>
            <c:marker>
              <c:symbol val="circle"/>
              <c:size val="10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2807-4026-A6FD-A5B644C0D54B}"/>
              </c:ext>
            </c:extLst>
          </c:dPt>
          <c:dPt>
            <c:idx val="114"/>
            <c:marker>
              <c:symbol val="circle"/>
              <c:size val="10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2807-4026-A6FD-A5B644C0D54B}"/>
              </c:ext>
            </c:extLst>
          </c:dPt>
          <c:dPt>
            <c:idx val="115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2807-4026-A6FD-A5B644C0D54B}"/>
              </c:ext>
            </c:extLst>
          </c:dPt>
          <c:dPt>
            <c:idx val="116"/>
            <c:marker>
              <c:symbol val="circle"/>
              <c:size val="10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2807-4026-A6FD-A5B644C0D54B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2807-4026-A6FD-A5B644C0D54B}"/>
              </c:ext>
            </c:extLst>
          </c:dPt>
          <c:dPt>
            <c:idx val="118"/>
            <c:marker>
              <c:symbol val="circle"/>
              <c:size val="10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2807-4026-A6FD-A5B644C0D54B}"/>
              </c:ext>
            </c:extLst>
          </c:dPt>
          <c:xVal>
            <c:numRef>
              <c:f>Arch!$G$2:$G$120</c:f>
              <c:numCache>
                <c:formatCode>General</c:formatCode>
                <c:ptCount val="119"/>
                <c:pt idx="0">
                  <c:v>-3.7838298576719716</c:v>
                </c:pt>
                <c:pt idx="1">
                  <c:v>-3.8131443894951689</c:v>
                </c:pt>
                <c:pt idx="2">
                  <c:v>-3.8607860285616491</c:v>
                </c:pt>
                <c:pt idx="3">
                  <c:v>-3.9188112700790674</c:v>
                </c:pt>
                <c:pt idx="4">
                  <c:v>-3.984840869706582</c:v>
                </c:pt>
                <c:pt idx="5">
                  <c:v>-4.0432970496456226</c:v>
                </c:pt>
                <c:pt idx="6">
                  <c:v>-4.065907289894918</c:v>
                </c:pt>
                <c:pt idx="7">
                  <c:v>-4.0233336052813238</c:v>
                </c:pt>
                <c:pt idx="8">
                  <c:v>-3.954967524428544</c:v>
                </c:pt>
                <c:pt idx="9">
                  <c:v>-3.950256108551446</c:v>
                </c:pt>
                <c:pt idx="10">
                  <c:v>-3.8233531323330587</c:v>
                </c:pt>
                <c:pt idx="11">
                  <c:v>-3.6497655924563128</c:v>
                </c:pt>
                <c:pt idx="12">
                  <c:v>-3.4461445173873235</c:v>
                </c:pt>
                <c:pt idx="13">
                  <c:v>-3.2849174790861473</c:v>
                </c:pt>
                <c:pt idx="14">
                  <c:v>-3.2656997826731424</c:v>
                </c:pt>
                <c:pt idx="15">
                  <c:v>-3.5179880430728394</c:v>
                </c:pt>
                <c:pt idx="16">
                  <c:v>-3.8771037630609366</c:v>
                </c:pt>
                <c:pt idx="17">
                  <c:v>-4.1962096457683877</c:v>
                </c:pt>
                <c:pt idx="18">
                  <c:v>-4.5051261072132762</c:v>
                </c:pt>
                <c:pt idx="19">
                  <c:v>-4.4906430711018501</c:v>
                </c:pt>
                <c:pt idx="20">
                  <c:v>-4.4970181253158028</c:v>
                </c:pt>
                <c:pt idx="21">
                  <c:v>-4.5589589277907203</c:v>
                </c:pt>
                <c:pt idx="22">
                  <c:v>-4.5434320722488533</c:v>
                </c:pt>
                <c:pt idx="23">
                  <c:v>-4.6062746151618601</c:v>
                </c:pt>
                <c:pt idx="24">
                  <c:v>-4.6998745641485895</c:v>
                </c:pt>
                <c:pt idx="25">
                  <c:v>-4.7222737547462943</c:v>
                </c:pt>
                <c:pt idx="26">
                  <c:v>-4.7303815648589707</c:v>
                </c:pt>
                <c:pt idx="27">
                  <c:v>-4.8020920119080248</c:v>
                </c:pt>
                <c:pt idx="28">
                  <c:v>-4.8102518205416853</c:v>
                </c:pt>
                <c:pt idx="29">
                  <c:v>-4.8267938702636313</c:v>
                </c:pt>
                <c:pt idx="30">
                  <c:v>-4.8497132283936359</c:v>
                </c:pt>
                <c:pt idx="31">
                  <c:v>-5.0467239302723588</c:v>
                </c:pt>
                <c:pt idx="32">
                  <c:v>-5.1203544869356357</c:v>
                </c:pt>
                <c:pt idx="33">
                  <c:v>-5.1459233859640356</c:v>
                </c:pt>
                <c:pt idx="34">
                  <c:v>-5.2146642956777924</c:v>
                </c:pt>
                <c:pt idx="35">
                  <c:v>-5.2130888285899122</c:v>
                </c:pt>
                <c:pt idx="36">
                  <c:v>-5.2741648427603014</c:v>
                </c:pt>
                <c:pt idx="37">
                  <c:v>-5.3181135022530484</c:v>
                </c:pt>
                <c:pt idx="38">
                  <c:v>-5.3457050919740539</c:v>
                </c:pt>
                <c:pt idx="39">
                  <c:v>-5.4198006421718947</c:v>
                </c:pt>
                <c:pt idx="40">
                  <c:v>-5.4735906878860536</c:v>
                </c:pt>
                <c:pt idx="41">
                  <c:v>-5.5325448429423867</c:v>
                </c:pt>
                <c:pt idx="42">
                  <c:v>-5.5927440194246358</c:v>
                </c:pt>
                <c:pt idx="43">
                  <c:v>-5.6641568434297769</c:v>
                </c:pt>
                <c:pt idx="44">
                  <c:v>-5.7421790179141903</c:v>
                </c:pt>
                <c:pt idx="45">
                  <c:v>-5.7757422567665415</c:v>
                </c:pt>
                <c:pt idx="46">
                  <c:v>-5.8411205688658656</c:v>
                </c:pt>
                <c:pt idx="47">
                  <c:v>-5.9738103098756348</c:v>
                </c:pt>
                <c:pt idx="48">
                  <c:v>-6.010756249765997</c:v>
                </c:pt>
                <c:pt idx="49">
                  <c:v>-5.9947201110747663</c:v>
                </c:pt>
                <c:pt idx="50">
                  <c:v>-5.9770611031010308</c:v>
                </c:pt>
                <c:pt idx="51">
                  <c:v>-5.9594169450661285</c:v>
                </c:pt>
                <c:pt idx="52">
                  <c:v>-5.9477151568154767</c:v>
                </c:pt>
                <c:pt idx="53">
                  <c:v>-5.9412621628107196</c:v>
                </c:pt>
                <c:pt idx="54">
                  <c:v>-5.9367473060387104</c:v>
                </c:pt>
                <c:pt idx="55">
                  <c:v>-5.9327924267352463</c:v>
                </c:pt>
                <c:pt idx="56">
                  <c:v>-5.9311845947123718</c:v>
                </c:pt>
                <c:pt idx="57">
                  <c:v>-5.9316513288312134</c:v>
                </c:pt>
                <c:pt idx="58">
                  <c:v>-5.9642966332241594</c:v>
                </c:pt>
                <c:pt idx="59">
                  <c:v>-6.173663857190185</c:v>
                </c:pt>
                <c:pt idx="60">
                  <c:v>-6.3462792995071062</c:v>
                </c:pt>
                <c:pt idx="61">
                  <c:v>-6.5060855474357799</c:v>
                </c:pt>
                <c:pt idx="62">
                  <c:v>-6.642353847965409</c:v>
                </c:pt>
                <c:pt idx="63">
                  <c:v>-6.8081637703669227</c:v>
                </c:pt>
                <c:pt idx="64">
                  <c:v>-6.95688219084371</c:v>
                </c:pt>
                <c:pt idx="65">
                  <c:v>-7.0291302128025519</c:v>
                </c:pt>
                <c:pt idx="66">
                  <c:v>-7.1075655614317164</c:v>
                </c:pt>
                <c:pt idx="67">
                  <c:v>-7.196449625628798</c:v>
                </c:pt>
                <c:pt idx="68">
                  <c:v>-7.3793842013848252</c:v>
                </c:pt>
                <c:pt idx="69">
                  <c:v>-7.524612153419989</c:v>
                </c:pt>
                <c:pt idx="70">
                  <c:v>-7.4950970739921878</c:v>
                </c:pt>
                <c:pt idx="71">
                  <c:v>-7.5009471189238788</c:v>
                </c:pt>
                <c:pt idx="72">
                  <c:v>-7.4255048394966501</c:v>
                </c:pt>
                <c:pt idx="73">
                  <c:v>-7.3595931872289286</c:v>
                </c:pt>
                <c:pt idx="74">
                  <c:v>-7.544358000322843</c:v>
                </c:pt>
                <c:pt idx="75">
                  <c:v>-7.8311787282194478</c:v>
                </c:pt>
                <c:pt idx="76">
                  <c:v>-7.9649374559350798</c:v>
                </c:pt>
                <c:pt idx="77">
                  <c:v>-7.9043198586135475</c:v>
                </c:pt>
                <c:pt idx="78">
                  <c:v>-7.8295478674430221</c:v>
                </c:pt>
                <c:pt idx="79">
                  <c:v>-7.3188983630736786</c:v>
                </c:pt>
                <c:pt idx="80">
                  <c:v>-7.0055201736597521</c:v>
                </c:pt>
                <c:pt idx="81">
                  <c:v>-6.6323817839237389</c:v>
                </c:pt>
                <c:pt idx="82">
                  <c:v>-6.2117835280822948</c:v>
                </c:pt>
                <c:pt idx="83">
                  <c:v>-6.7834318816123069</c:v>
                </c:pt>
                <c:pt idx="84">
                  <c:v>-7.0965479736732435</c:v>
                </c:pt>
                <c:pt idx="85">
                  <c:v>-7.0097378403216188</c:v>
                </c:pt>
                <c:pt idx="86">
                  <c:v>-6.5680696682567588</c:v>
                </c:pt>
                <c:pt idx="87">
                  <c:v>-6.1459035296846469</c:v>
                </c:pt>
                <c:pt idx="88">
                  <c:v>-5.699509349937717</c:v>
                </c:pt>
                <c:pt idx="89">
                  <c:v>-5.2451429916010559</c:v>
                </c:pt>
                <c:pt idx="90">
                  <c:v>-4.7261141622650147</c:v>
                </c:pt>
                <c:pt idx="91">
                  <c:v>-4.7306106178800551</c:v>
                </c:pt>
                <c:pt idx="92">
                  <c:v>-4.7270318877814956</c:v>
                </c:pt>
                <c:pt idx="93">
                  <c:v>-4.7296928923635768</c:v>
                </c:pt>
                <c:pt idx="94">
                  <c:v>-4.727949613297973</c:v>
                </c:pt>
                <c:pt idx="95">
                  <c:v>-4.7287751668470985</c:v>
                </c:pt>
                <c:pt idx="96">
                  <c:v>-4.7288673388144531</c:v>
                </c:pt>
                <c:pt idx="97">
                  <c:v>-4.7278574413306185</c:v>
                </c:pt>
                <c:pt idx="98">
                  <c:v>-4.7297850643309314</c:v>
                </c:pt>
                <c:pt idx="99">
                  <c:v>-4.7269397158141429</c:v>
                </c:pt>
                <c:pt idx="100">
                  <c:v>-4.7307027898474105</c:v>
                </c:pt>
                <c:pt idx="101">
                  <c:v>-4.7260219902976166</c:v>
                </c:pt>
                <c:pt idx="102">
                  <c:v>-4.7309611191574819</c:v>
                </c:pt>
                <c:pt idx="103">
                  <c:v>-4.7266813865041311</c:v>
                </c:pt>
                <c:pt idx="104">
                  <c:v>-4.7300433936408783</c:v>
                </c:pt>
                <c:pt idx="105">
                  <c:v>-4.727599112020739</c:v>
                </c:pt>
                <c:pt idx="106">
                  <c:v>-4.7291256681242713</c:v>
                </c:pt>
                <c:pt idx="107">
                  <c:v>-4.7285168375373425</c:v>
                </c:pt>
                <c:pt idx="108">
                  <c:v>-4.7282079426076606</c:v>
                </c:pt>
                <c:pt idx="109">
                  <c:v>-4.729434563053954</c:v>
                </c:pt>
                <c:pt idx="110">
                  <c:v>-4.8262488355298254</c:v>
                </c:pt>
                <c:pt idx="111">
                  <c:v>-5.0669446160444629</c:v>
                </c:pt>
                <c:pt idx="112">
                  <c:v>-4.7974044527719046</c:v>
                </c:pt>
                <c:pt idx="113">
                  <c:v>-4.2853790297980385</c:v>
                </c:pt>
                <c:pt idx="114">
                  <c:v>-3.6961647654295051</c:v>
                </c:pt>
                <c:pt idx="115">
                  <c:v>-3.0706497404665223</c:v>
                </c:pt>
                <c:pt idx="116">
                  <c:v>-2.8077231344722966</c:v>
                </c:pt>
                <c:pt idx="117">
                  <c:v>-2.074784656018227</c:v>
                </c:pt>
                <c:pt idx="118">
                  <c:v>-1.764511022728896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43.21416591788936</c:v>
                </c:pt>
                <c:pt idx="1">
                  <c:v>43.198985505390119</c:v>
                </c:pt>
                <c:pt idx="2">
                  <c:v>43.097711390262262</c:v>
                </c:pt>
                <c:pt idx="3">
                  <c:v>42.955275772599236</c:v>
                </c:pt>
                <c:pt idx="4">
                  <c:v>42.795313877304835</c:v>
                </c:pt>
                <c:pt idx="5">
                  <c:v>42.599627687508239</c:v>
                </c:pt>
                <c:pt idx="6">
                  <c:v>42.490064078706716</c:v>
                </c:pt>
                <c:pt idx="7">
                  <c:v>42.351318713554846</c:v>
                </c:pt>
                <c:pt idx="8">
                  <c:v>42.359303303383356</c:v>
                </c:pt>
                <c:pt idx="9">
                  <c:v>42.159419338700758</c:v>
                </c:pt>
                <c:pt idx="10">
                  <c:v>42.052442532599756</c:v>
                </c:pt>
                <c:pt idx="11">
                  <c:v>42.212045737856201</c:v>
                </c:pt>
                <c:pt idx="12">
                  <c:v>42.293204275714814</c:v>
                </c:pt>
                <c:pt idx="13">
                  <c:v>42.285145028437555</c:v>
                </c:pt>
                <c:pt idx="14">
                  <c:v>42.1407546058226</c:v>
                </c:pt>
                <c:pt idx="15">
                  <c:v>41.70626945239129</c:v>
                </c:pt>
                <c:pt idx="16">
                  <c:v>41.043776593286267</c:v>
                </c:pt>
                <c:pt idx="17">
                  <c:v>40.342267757670982</c:v>
                </c:pt>
                <c:pt idx="18">
                  <c:v>39.757778609798351</c:v>
                </c:pt>
                <c:pt idx="19">
                  <c:v>39.668317640133097</c:v>
                </c:pt>
                <c:pt idx="20">
                  <c:v>39.521213926902647</c:v>
                </c:pt>
                <c:pt idx="21">
                  <c:v>39.03222617013197</c:v>
                </c:pt>
                <c:pt idx="22">
                  <c:v>38.760323767430812</c:v>
                </c:pt>
                <c:pt idx="23">
                  <c:v>38.430260735491615</c:v>
                </c:pt>
                <c:pt idx="24">
                  <c:v>38.04964056454962</c:v>
                </c:pt>
                <c:pt idx="25">
                  <c:v>37.784235262202948</c:v>
                </c:pt>
                <c:pt idx="26">
                  <c:v>37.544400360695185</c:v>
                </c:pt>
                <c:pt idx="27">
                  <c:v>37.147636973177129</c:v>
                </c:pt>
                <c:pt idx="28">
                  <c:v>36.92267882333708</c:v>
                </c:pt>
                <c:pt idx="29">
                  <c:v>36.677575928260687</c:v>
                </c:pt>
                <c:pt idx="30">
                  <c:v>36.432488767721381</c:v>
                </c:pt>
                <c:pt idx="31">
                  <c:v>35.913832334687228</c:v>
                </c:pt>
                <c:pt idx="32">
                  <c:v>35.559527106398022</c:v>
                </c:pt>
                <c:pt idx="33">
                  <c:v>35.257060010221601</c:v>
                </c:pt>
                <c:pt idx="34">
                  <c:v>34.898960745077325</c:v>
                </c:pt>
                <c:pt idx="35">
                  <c:v>34.583929492685058</c:v>
                </c:pt>
                <c:pt idx="36">
                  <c:v>34.164964447730867</c:v>
                </c:pt>
                <c:pt idx="37">
                  <c:v>33.768774465150535</c:v>
                </c:pt>
                <c:pt idx="38">
                  <c:v>33.391627717479423</c:v>
                </c:pt>
                <c:pt idx="39">
                  <c:v>32.948648042509916</c:v>
                </c:pt>
                <c:pt idx="40">
                  <c:v>32.53007383407936</c:v>
                </c:pt>
                <c:pt idx="41">
                  <c:v>32.108638187819707</c:v>
                </c:pt>
                <c:pt idx="42">
                  <c:v>31.687409517155182</c:v>
                </c:pt>
                <c:pt idx="43">
                  <c:v>31.248073261934667</c:v>
                </c:pt>
                <c:pt idx="44">
                  <c:v>30.798751720067351</c:v>
                </c:pt>
                <c:pt idx="45">
                  <c:v>30.449247801523725</c:v>
                </c:pt>
                <c:pt idx="46">
                  <c:v>30.034365175201721</c:v>
                </c:pt>
                <c:pt idx="47">
                  <c:v>29.468045277998428</c:v>
                </c:pt>
                <c:pt idx="48">
                  <c:v>28.92437516254865</c:v>
                </c:pt>
                <c:pt idx="49">
                  <c:v>28.398837549045286</c:v>
                </c:pt>
                <c:pt idx="50">
                  <c:v>27.860280082950108</c:v>
                </c:pt>
                <c:pt idx="51">
                  <c:v>27.32241791663391</c:v>
                </c:pt>
                <c:pt idx="52">
                  <c:v>26.759305892023363</c:v>
                </c:pt>
                <c:pt idx="53">
                  <c:v>26.165443734369994</c:v>
                </c:pt>
                <c:pt idx="54">
                  <c:v>25.554439815052323</c:v>
                </c:pt>
                <c:pt idx="55">
                  <c:v>24.944859256707716</c:v>
                </c:pt>
                <c:pt idx="56">
                  <c:v>24.299503648503194</c:v>
                </c:pt>
                <c:pt idx="57">
                  <c:v>23.617096148576113</c:v>
                </c:pt>
                <c:pt idx="58">
                  <c:v>22.883342690198191</c:v>
                </c:pt>
                <c:pt idx="59">
                  <c:v>22.150250927148164</c:v>
                </c:pt>
                <c:pt idx="60">
                  <c:v>21.273587671303904</c:v>
                </c:pt>
                <c:pt idx="61">
                  <c:v>20.902586323236779</c:v>
                </c:pt>
                <c:pt idx="62">
                  <c:v>20.659085445859226</c:v>
                </c:pt>
                <c:pt idx="63">
                  <c:v>20.355868094070843</c:v>
                </c:pt>
                <c:pt idx="64">
                  <c:v>20.22055996101443</c:v>
                </c:pt>
                <c:pt idx="65">
                  <c:v>20.096145818709779</c:v>
                </c:pt>
                <c:pt idx="66">
                  <c:v>19.92766984465176</c:v>
                </c:pt>
                <c:pt idx="67">
                  <c:v>19.626652699457949</c:v>
                </c:pt>
                <c:pt idx="68">
                  <c:v>18.594929331401559</c:v>
                </c:pt>
                <c:pt idx="69">
                  <c:v>17.647351766388358</c:v>
                </c:pt>
                <c:pt idx="70">
                  <c:v>17.552701081557981</c:v>
                </c:pt>
                <c:pt idx="71">
                  <c:v>17.678760782069869</c:v>
                </c:pt>
                <c:pt idx="72">
                  <c:v>17.627529768878631</c:v>
                </c:pt>
                <c:pt idx="73">
                  <c:v>17.426402469433199</c:v>
                </c:pt>
                <c:pt idx="74">
                  <c:v>16.863081483709585</c:v>
                </c:pt>
                <c:pt idx="75">
                  <c:v>15.620007884664322</c:v>
                </c:pt>
                <c:pt idx="76">
                  <c:v>14.181303432232092</c:v>
                </c:pt>
                <c:pt idx="77">
                  <c:v>13.137684179346092</c:v>
                </c:pt>
                <c:pt idx="78">
                  <c:v>12.709353371379056</c:v>
                </c:pt>
                <c:pt idx="79">
                  <c:v>12.350339081273514</c:v>
                </c:pt>
                <c:pt idx="80">
                  <c:v>12.463669765550497</c:v>
                </c:pt>
                <c:pt idx="81">
                  <c:v>12.83186272530625</c:v>
                </c:pt>
                <c:pt idx="82">
                  <c:v>13.029528982088747</c:v>
                </c:pt>
                <c:pt idx="83">
                  <c:v>11.793428667425328</c:v>
                </c:pt>
                <c:pt idx="84">
                  <c:v>10.347811388521189</c:v>
                </c:pt>
                <c:pt idx="85">
                  <c:v>9.213142126160621</c:v>
                </c:pt>
                <c:pt idx="86">
                  <c:v>9.0393457442379876</c:v>
                </c:pt>
                <c:pt idx="87">
                  <c:v>9.1279746838676896</c:v>
                </c:pt>
                <c:pt idx="88">
                  <c:v>9.6604995013668429</c:v>
                </c:pt>
                <c:pt idx="89">
                  <c:v>9.6821572951725923</c:v>
                </c:pt>
                <c:pt idx="90">
                  <c:v>10.45326558640763</c:v>
                </c:pt>
                <c:pt idx="91">
                  <c:v>10.442531302494281</c:v>
                </c:pt>
                <c:pt idx="92">
                  <c:v>10.451074721626163</c:v>
                </c:pt>
                <c:pt idx="93">
                  <c:v>10.444722167275742</c:v>
                </c:pt>
                <c:pt idx="94">
                  <c:v>10.4488838568447</c:v>
                </c:pt>
                <c:pt idx="95">
                  <c:v>10.446913032057207</c:v>
                </c:pt>
                <c:pt idx="96">
                  <c:v>10.446692992063234</c:v>
                </c:pt>
                <c:pt idx="97">
                  <c:v>10.449103896838672</c:v>
                </c:pt>
                <c:pt idx="98">
                  <c:v>10.444502127281769</c:v>
                </c:pt>
                <c:pt idx="99">
                  <c:v>10.451294761620133</c:v>
                </c:pt>
                <c:pt idx="100">
                  <c:v>10.442311262500304</c:v>
                </c:pt>
                <c:pt idx="101">
                  <c:v>10.453485626401708</c:v>
                </c:pt>
                <c:pt idx="102">
                  <c:v>10.44169455894647</c:v>
                </c:pt>
                <c:pt idx="103">
                  <c:v>10.45191146517382</c:v>
                </c:pt>
                <c:pt idx="104">
                  <c:v>10.443885423728233</c:v>
                </c:pt>
                <c:pt idx="105">
                  <c:v>10.44972060039205</c:v>
                </c:pt>
                <c:pt idx="106">
                  <c:v>10.446076288510003</c:v>
                </c:pt>
                <c:pt idx="107">
                  <c:v>10.447529735610285</c:v>
                </c:pt>
                <c:pt idx="108">
                  <c:v>10.448267153291786</c:v>
                </c:pt>
                <c:pt idx="109">
                  <c:v>10.445338870828504</c:v>
                </c:pt>
                <c:pt idx="110">
                  <c:v>10.125212436046409</c:v>
                </c:pt>
                <c:pt idx="111">
                  <c:v>8.6256147387355746</c:v>
                </c:pt>
                <c:pt idx="112">
                  <c:v>7.2777108964228692</c:v>
                </c:pt>
                <c:pt idx="113">
                  <c:v>7.3488297049937579</c:v>
                </c:pt>
                <c:pt idx="114">
                  <c:v>7.8818249327266869</c:v>
                </c:pt>
                <c:pt idx="115">
                  <c:v>8.7109820810565619</c:v>
                </c:pt>
                <c:pt idx="116">
                  <c:v>8.1010218452350955</c:v>
                </c:pt>
                <c:pt idx="117">
                  <c:v>9.1105853102206904</c:v>
                </c:pt>
                <c:pt idx="11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E43-476D-B1CE-56F357F502DD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FA5C-4F5C-846A-BEF883CEDB9F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E43-476D-B1CE-56F357F50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D50-48D9-A1C2-0BFC8ABC375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D50-48D9-A1C2-0BFC8ABC3756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D50-48D9-A1C2-0BFC8ABC3756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D50-48D9-A1C2-0BFC8ABC3756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D50-48D9-A1C2-0BFC8ABC3756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AD50-48D9-A1C2-0BFC8ABC3756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D50-48D9-A1C2-0BFC8ABC3756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D50-48D9-A1C2-0BFC8ABC3756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D50-48D9-A1C2-0BFC8ABC3756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D50-48D9-A1C2-0BFC8ABC3756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D50-48D9-A1C2-0BFC8ABC3756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AD50-48D9-A1C2-0BFC8ABC3756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D50-48D9-A1C2-0BFC8ABC3756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D50-48D9-A1C2-0BFC8ABC3756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AD50-48D9-A1C2-0BFC8ABC3756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D50-48D9-A1C2-0BFC8ABC3756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D50-48D9-A1C2-0BFC8ABC3756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AD50-48D9-A1C2-0BFC8ABC3756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D50-48D9-A1C2-0BFC8ABC3756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C50-477E-9A25-D6C5AE8CA358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C50-477E-9A25-D6C5AE8CA358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C50-477E-9A25-D6C5AE8CA358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C50-477E-9A25-D6C5AE8CA358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C50-477E-9A25-D6C5AE8CA358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C50-477E-9A25-D6C5AE8CA358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C50-477E-9A25-D6C5AE8CA358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C50-477E-9A25-D6C5AE8CA358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C50-477E-9A25-D6C5AE8CA358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C50-477E-9A25-D6C5AE8CA358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C50-477E-9A25-D6C5AE8CA358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C50-477E-9A25-D6C5AE8CA358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C50-477E-9A25-D6C5AE8CA358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C50-477E-9A25-D6C5AE8CA358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C50-477E-9A25-D6C5AE8CA358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C50-477E-9A25-D6C5AE8CA358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C50-477E-9A25-D6C5AE8CA358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C50-477E-9A25-D6C5AE8CA358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C50-477E-9A25-D6C5AE8CA358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C50-477E-9A25-D6C5AE8CA358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C50-477E-9A25-D6C5AE8CA358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C50-477E-9A25-D6C5AE8CA358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C50-477E-9A25-D6C5AE8CA358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C50-477E-9A25-D6C5AE8CA358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C50-477E-9A25-D6C5AE8CA358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C50-477E-9A25-D6C5AE8CA358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C50-477E-9A25-D6C5AE8CA358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C50-477E-9A25-D6C5AE8CA358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C50-477E-9A25-D6C5AE8CA358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C50-477E-9A25-D6C5AE8CA358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C50-477E-9A25-D6C5AE8CA358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C50-477E-9A25-D6C5AE8CA358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C50-477E-9A25-D6C5AE8CA358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C50-477E-9A25-D6C5AE8CA358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C50-477E-9A25-D6C5AE8CA358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C50-477E-9A25-D6C5AE8CA358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C50-477E-9A25-D6C5AE8CA358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C50-477E-9A25-D6C5AE8CA358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C50-477E-9A25-D6C5AE8CA358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C50-477E-9A25-D6C5AE8CA358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560B-4AEF-B18B-7E9EF7D184D5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560B-4AEF-B18B-7E9EF7D184D5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560B-4AEF-B18B-7E9EF7D184D5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560B-4AEF-B18B-7E9EF7D184D5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560B-4AEF-B18B-7E9EF7D184D5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560B-4AEF-B18B-7E9EF7D184D5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560B-4AEF-B18B-7E9EF7D184D5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560B-4AEF-B18B-7E9EF7D184D5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560B-4AEF-B18B-7E9EF7D184D5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560B-4AEF-B18B-7E9EF7D184D5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560B-4AEF-B18B-7E9EF7D184D5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560B-4AEF-B18B-7E9EF7D184D5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560B-4AEF-B18B-7E9EF7D184D5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560B-4AEF-B18B-7E9EF7D184D5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560B-4AEF-B18B-7E9EF7D184D5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560B-4AEF-B18B-7E9EF7D184D5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560B-4AEF-B18B-7E9EF7D184D5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560B-4AEF-B18B-7E9EF7D184D5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560B-4AEF-B18B-7E9EF7D184D5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560B-4AEF-B18B-7E9EF7D184D5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560B-4AEF-B18B-7E9EF7D184D5}"/>
              </c:ext>
            </c:extLst>
          </c:dPt>
          <c:dPt>
            <c:idx val="80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560B-4AEF-B18B-7E9EF7D184D5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560B-4AEF-B18B-7E9EF7D184D5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560B-4AEF-B18B-7E9EF7D184D5}"/>
              </c:ext>
            </c:extLst>
          </c:dPt>
          <c:dPt>
            <c:idx val="83"/>
            <c:marker>
              <c:symbol val="circle"/>
              <c:size val="10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560B-4AEF-B18B-7E9EF7D184D5}"/>
              </c:ext>
            </c:extLst>
          </c:dPt>
          <c:dPt>
            <c:idx val="84"/>
            <c:marker>
              <c:symbol val="circle"/>
              <c:size val="10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560B-4AEF-B18B-7E9EF7D184D5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560B-4AEF-B18B-7E9EF7D184D5}"/>
              </c:ext>
            </c:extLst>
          </c:dPt>
          <c:dPt>
            <c:idx val="86"/>
            <c:marker>
              <c:symbol val="circle"/>
              <c:size val="10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560B-4AEF-B18B-7E9EF7D184D5}"/>
              </c:ext>
            </c:extLst>
          </c:dPt>
          <c:dPt>
            <c:idx val="87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560B-4AEF-B18B-7E9EF7D184D5}"/>
              </c:ext>
            </c:extLst>
          </c:dPt>
          <c:dPt>
            <c:idx val="88"/>
            <c:marker>
              <c:symbol val="circle"/>
              <c:size val="10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560B-4AEF-B18B-7E9EF7D184D5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560B-4AEF-B18B-7E9EF7D184D5}"/>
              </c:ext>
            </c:extLst>
          </c:dPt>
          <c:dPt>
            <c:idx val="9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560B-4AEF-B18B-7E9EF7D184D5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560B-4AEF-B18B-7E9EF7D184D5}"/>
              </c:ext>
            </c:extLst>
          </c:dPt>
          <c:dPt>
            <c:idx val="92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560B-4AEF-B18B-7E9EF7D184D5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560B-4AEF-B18B-7E9EF7D184D5}"/>
              </c:ext>
            </c:extLst>
          </c:dPt>
          <c:dPt>
            <c:idx val="94"/>
            <c:marker>
              <c:symbol val="circle"/>
              <c:size val="10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560B-4AEF-B18B-7E9EF7D184D5}"/>
              </c:ext>
            </c:extLst>
          </c:dPt>
          <c:dPt>
            <c:idx val="95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560B-4AEF-B18B-7E9EF7D184D5}"/>
              </c:ext>
            </c:extLst>
          </c:dPt>
          <c:dPt>
            <c:idx val="96"/>
            <c:marker>
              <c:symbol val="circle"/>
              <c:size val="10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560B-4AEF-B18B-7E9EF7D184D5}"/>
              </c:ext>
            </c:extLst>
          </c:dPt>
          <c:dPt>
            <c:idx val="97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560B-4AEF-B18B-7E9EF7D184D5}"/>
              </c:ext>
            </c:extLst>
          </c:dPt>
          <c:dPt>
            <c:idx val="98"/>
            <c:marker>
              <c:symbol val="circle"/>
              <c:size val="10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560B-4AEF-B18B-7E9EF7D184D5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560B-4AEF-B18B-7E9EF7D184D5}"/>
              </c:ext>
            </c:extLst>
          </c:dPt>
          <c:dPt>
            <c:idx val="100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560B-4AEF-B18B-7E9EF7D184D5}"/>
              </c:ext>
            </c:extLst>
          </c:dPt>
          <c:dPt>
            <c:idx val="101"/>
            <c:marker>
              <c:symbol val="circle"/>
              <c:size val="10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560B-4AEF-B18B-7E9EF7D184D5}"/>
              </c:ext>
            </c:extLst>
          </c:dPt>
          <c:dPt>
            <c:idx val="102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560B-4AEF-B18B-7E9EF7D184D5}"/>
              </c:ext>
            </c:extLst>
          </c:dPt>
          <c:dPt>
            <c:idx val="103"/>
            <c:marker>
              <c:symbol val="circle"/>
              <c:size val="10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560B-4AEF-B18B-7E9EF7D184D5}"/>
              </c:ext>
            </c:extLst>
          </c:dPt>
          <c:dPt>
            <c:idx val="104"/>
            <c:marker>
              <c:symbol val="circle"/>
              <c:size val="10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560B-4AEF-B18B-7E9EF7D184D5}"/>
              </c:ext>
            </c:extLst>
          </c:dPt>
          <c:dPt>
            <c:idx val="105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560B-4AEF-B18B-7E9EF7D184D5}"/>
              </c:ext>
            </c:extLst>
          </c:dPt>
          <c:dPt>
            <c:idx val="106"/>
            <c:marker>
              <c:symbol val="circle"/>
              <c:size val="10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560B-4AEF-B18B-7E9EF7D184D5}"/>
              </c:ext>
            </c:extLst>
          </c:dPt>
          <c:dPt>
            <c:idx val="10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560B-4AEF-B18B-7E9EF7D184D5}"/>
              </c:ext>
            </c:extLst>
          </c:dPt>
          <c:dPt>
            <c:idx val="108"/>
            <c:marker>
              <c:symbol val="circle"/>
              <c:size val="10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560B-4AEF-B18B-7E9EF7D184D5}"/>
              </c:ext>
            </c:extLst>
          </c:dPt>
          <c:dPt>
            <c:idx val="109"/>
            <c:marker>
              <c:symbol val="circle"/>
              <c:size val="10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560B-4AEF-B18B-7E9EF7D184D5}"/>
              </c:ext>
            </c:extLst>
          </c:dPt>
          <c:dPt>
            <c:idx val="110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560B-4AEF-B18B-7E9EF7D184D5}"/>
              </c:ext>
            </c:extLst>
          </c:dPt>
          <c:dPt>
            <c:idx val="111"/>
            <c:marker>
              <c:symbol val="circle"/>
              <c:size val="10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560B-4AEF-B18B-7E9EF7D184D5}"/>
              </c:ext>
            </c:extLst>
          </c:dPt>
          <c:dPt>
            <c:idx val="112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560B-4AEF-B18B-7E9EF7D184D5}"/>
              </c:ext>
            </c:extLst>
          </c:dPt>
          <c:dPt>
            <c:idx val="113"/>
            <c:marker>
              <c:symbol val="circle"/>
              <c:size val="10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560B-4AEF-B18B-7E9EF7D184D5}"/>
              </c:ext>
            </c:extLst>
          </c:dPt>
          <c:dPt>
            <c:idx val="114"/>
            <c:marker>
              <c:symbol val="circle"/>
              <c:size val="10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560B-4AEF-B18B-7E9EF7D184D5}"/>
              </c:ext>
            </c:extLst>
          </c:dPt>
          <c:dPt>
            <c:idx val="115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560B-4AEF-B18B-7E9EF7D184D5}"/>
              </c:ext>
            </c:extLst>
          </c:dPt>
          <c:dPt>
            <c:idx val="116"/>
            <c:marker>
              <c:symbol val="circle"/>
              <c:size val="10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560B-4AEF-B18B-7E9EF7D184D5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560B-4AEF-B18B-7E9EF7D184D5}"/>
              </c:ext>
            </c:extLst>
          </c:dPt>
          <c:dPt>
            <c:idx val="118"/>
            <c:marker>
              <c:symbol val="circle"/>
              <c:size val="10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560B-4AEF-B18B-7E9EF7D184D5}"/>
              </c:ext>
            </c:extLst>
          </c:dPt>
          <c:xVal>
            <c:numRef>
              <c:f>Arch!$I$2:$I$120</c:f>
              <c:numCache>
                <c:formatCode>General</c:formatCode>
                <c:ptCount val="119"/>
                <c:pt idx="0">
                  <c:v>0.46405775722723652</c:v>
                </c:pt>
                <c:pt idx="1">
                  <c:v>1.2383259323481755</c:v>
                </c:pt>
                <c:pt idx="2">
                  <c:v>2.0023783915429614</c:v>
                </c:pt>
                <c:pt idx="3">
                  <c:v>2.7626295603015825</c:v>
                </c:pt>
                <c:pt idx="4">
                  <c:v>3.5163084260374329</c:v>
                </c:pt>
                <c:pt idx="5">
                  <c:v>4.2569094285887017</c:v>
                </c:pt>
                <c:pt idx="6">
                  <c:v>5.0097597941938918</c:v>
                </c:pt>
                <c:pt idx="7">
                  <c:v>5.760751110056102</c:v>
                </c:pt>
                <c:pt idx="8">
                  <c:v>6.5317115610237879</c:v>
                </c:pt>
                <c:pt idx="9">
                  <c:v>7.2419962744591588</c:v>
                </c:pt>
                <c:pt idx="10">
                  <c:v>7.9751118795383844</c:v>
                </c:pt>
                <c:pt idx="11">
                  <c:v>8.7127470155278743</c:v>
                </c:pt>
                <c:pt idx="12">
                  <c:v>9.4577444588077899</c:v>
                </c:pt>
                <c:pt idx="13">
                  <c:v>10.216994920510437</c:v>
                </c:pt>
                <c:pt idx="14">
                  <c:v>10.972750496085112</c:v>
                </c:pt>
                <c:pt idx="15">
                  <c:v>11.539361853505397</c:v>
                </c:pt>
                <c:pt idx="16">
                  <c:v>11.696668914516664</c:v>
                </c:pt>
                <c:pt idx="17">
                  <c:v>11.788382676882955</c:v>
                </c:pt>
                <c:pt idx="18">
                  <c:v>12.146503985500914</c:v>
                </c:pt>
                <c:pt idx="19">
                  <c:v>12.914137580081288</c:v>
                </c:pt>
                <c:pt idx="20">
                  <c:v>13.669010295363153</c:v>
                </c:pt>
                <c:pt idx="21">
                  <c:v>14.254679946403305</c:v>
                </c:pt>
                <c:pt idx="22">
                  <c:v>14.974123889630617</c:v>
                </c:pt>
                <c:pt idx="23">
                  <c:v>15.669907904564305</c:v>
                </c:pt>
                <c:pt idx="24">
                  <c:v>16.334304863878202</c:v>
                </c:pt>
                <c:pt idx="25">
                  <c:v>17.061308667252284</c:v>
                </c:pt>
                <c:pt idx="26">
                  <c:v>17.798645612345101</c:v>
                </c:pt>
                <c:pt idx="27">
                  <c:v>18.462487983004216</c:v>
                </c:pt>
                <c:pt idx="28">
                  <c:v>19.204428205005705</c:v>
                </c:pt>
                <c:pt idx="29">
                  <c:v>19.939402611703152</c:v>
                </c:pt>
                <c:pt idx="30">
                  <c:v>20.671427755701853</c:v>
                </c:pt>
                <c:pt idx="31">
                  <c:v>21.201062291768604</c:v>
                </c:pt>
                <c:pt idx="32">
                  <c:v>21.876834397102073</c:v>
                </c:pt>
                <c:pt idx="33">
                  <c:v>22.591225555805668</c:v>
                </c:pt>
                <c:pt idx="34">
                  <c:v>23.2765562136989</c:v>
                </c:pt>
                <c:pt idx="35">
                  <c:v>23.986575784782481</c:v>
                </c:pt>
                <c:pt idx="36">
                  <c:v>24.631818081052621</c:v>
                </c:pt>
                <c:pt idx="37">
                  <c:v>25.295330317473656</c:v>
                </c:pt>
                <c:pt idx="38">
                  <c:v>25.972200736383797</c:v>
                </c:pt>
                <c:pt idx="39">
                  <c:v>26.605783957972243</c:v>
                </c:pt>
                <c:pt idx="40">
                  <c:v>27.258429402232562</c:v>
                </c:pt>
                <c:pt idx="41">
                  <c:v>27.908508649874477</c:v>
                </c:pt>
                <c:pt idx="42">
                  <c:v>28.55828522335004</c:v>
                </c:pt>
                <c:pt idx="43">
                  <c:v>29.193870839981329</c:v>
                </c:pt>
                <c:pt idx="44">
                  <c:v>29.823297273914132</c:v>
                </c:pt>
                <c:pt idx="45">
                  <c:v>30.512990696707011</c:v>
                </c:pt>
                <c:pt idx="46">
                  <c:v>31.162703957516307</c:v>
                </c:pt>
                <c:pt idx="47">
                  <c:v>31.676345986702412</c:v>
                </c:pt>
                <c:pt idx="48">
                  <c:v>32.226251494694381</c:v>
                </c:pt>
                <c:pt idx="49">
                  <c:v>32.797553259187204</c:v>
                </c:pt>
                <c:pt idx="50">
                  <c:v>33.357480316598682</c:v>
                </c:pt>
                <c:pt idx="51">
                  <c:v>33.916727207393585</c:v>
                </c:pt>
                <c:pt idx="52">
                  <c:v>34.450674708972414</c:v>
                </c:pt>
                <c:pt idx="53">
                  <c:v>34.95216197402894</c:v>
                </c:pt>
                <c:pt idx="54">
                  <c:v>35.432199401851207</c:v>
                </c:pt>
                <c:pt idx="55">
                  <c:v>35.91416396456723</c:v>
                </c:pt>
                <c:pt idx="56">
                  <c:v>36.347404376863757</c:v>
                </c:pt>
                <c:pt idx="57">
                  <c:v>36.718456512941579</c:v>
                </c:pt>
                <c:pt idx="58">
                  <c:v>36.9570051349925</c:v>
                </c:pt>
                <c:pt idx="59">
                  <c:v>36.891185867610552</c:v>
                </c:pt>
                <c:pt idx="60">
                  <c:v>35.679174033353391</c:v>
                </c:pt>
                <c:pt idx="61">
                  <c:v>34.182800325781386</c:v>
                </c:pt>
                <c:pt idx="62">
                  <c:v>32.66652726028137</c:v>
                </c:pt>
                <c:pt idx="63">
                  <c:v>31.187377128431045</c:v>
                </c:pt>
                <c:pt idx="64">
                  <c:v>29.762643536734473</c:v>
                </c:pt>
                <c:pt idx="65">
                  <c:v>28.230186513193136</c:v>
                </c:pt>
                <c:pt idx="66">
                  <c:v>26.70299918479666</c:v>
                </c:pt>
                <c:pt idx="67">
                  <c:v>25.195434680425393</c:v>
                </c:pt>
                <c:pt idx="68">
                  <c:v>24.216095462323594</c:v>
                </c:pt>
                <c:pt idx="69">
                  <c:v>23.070206504966087</c:v>
                </c:pt>
                <c:pt idx="70">
                  <c:v>21.536587418236536</c:v>
                </c:pt>
                <c:pt idx="71">
                  <c:v>19.997950871973938</c:v>
                </c:pt>
                <c:pt idx="72">
                  <c:v>18.451548093460577</c:v>
                </c:pt>
                <c:pt idx="73">
                  <c:v>16.919705250272518</c:v>
                </c:pt>
                <c:pt idx="74">
                  <c:v>16.844340690943806</c:v>
                </c:pt>
                <c:pt idx="75">
                  <c:v>17.704465341732721</c:v>
                </c:pt>
                <c:pt idx="76">
                  <c:v>18.191016314732337</c:v>
                </c:pt>
                <c:pt idx="77">
                  <c:v>17.173508617662741</c:v>
                </c:pt>
                <c:pt idx="78">
                  <c:v>15.685753586041667</c:v>
                </c:pt>
                <c:pt idx="79">
                  <c:v>14.275044141228747</c:v>
                </c:pt>
                <c:pt idx="80">
                  <c:v>12.774336706039614</c:v>
                </c:pt>
                <c:pt idx="81">
                  <c:v>11.335703035899147</c:v>
                </c:pt>
                <c:pt idx="82">
                  <c:v>10.063824806927144</c:v>
                </c:pt>
                <c:pt idx="83">
                  <c:v>10.754707502887436</c:v>
                </c:pt>
                <c:pt idx="84">
                  <c:v>11.201049377494256</c:v>
                </c:pt>
                <c:pt idx="85">
                  <c:v>10.525611101847611</c:v>
                </c:pt>
                <c:pt idx="86">
                  <c:v>9.0555807851379342</c:v>
                </c:pt>
                <c:pt idx="87">
                  <c:v>7.5758152995255568</c:v>
                </c:pt>
                <c:pt idx="88">
                  <c:v>6.2093984452955331</c:v>
                </c:pt>
                <c:pt idx="89">
                  <c:v>4.9824187477082731</c:v>
                </c:pt>
                <c:pt idx="90">
                  <c:v>4.1558311105980463</c:v>
                </c:pt>
                <c:pt idx="91">
                  <c:v>4.1782940517016698</c:v>
                </c:pt>
                <c:pt idx="92">
                  <c:v>4.1604157915091697</c:v>
                </c:pt>
                <c:pt idx="93">
                  <c:v>4.1737093707905579</c:v>
                </c:pt>
                <c:pt idx="94">
                  <c:v>4.1650004724202816</c:v>
                </c:pt>
                <c:pt idx="95">
                  <c:v>4.1691246898794398</c:v>
                </c:pt>
                <c:pt idx="96">
                  <c:v>4.1695851533314006</c:v>
                </c:pt>
                <c:pt idx="97">
                  <c:v>4.1645400089683218</c:v>
                </c:pt>
                <c:pt idx="98">
                  <c:v>4.1741698342425178</c:v>
                </c:pt>
                <c:pt idx="99">
                  <c:v>4.159955328057217</c:v>
                </c:pt>
                <c:pt idx="100">
                  <c:v>4.1787545151536358</c:v>
                </c:pt>
                <c:pt idx="101">
                  <c:v>4.1553706471458653</c:v>
                </c:pt>
                <c:pt idx="102">
                  <c:v>4.180045050760854</c:v>
                </c:pt>
                <c:pt idx="103">
                  <c:v>4.1586647924503044</c:v>
                </c:pt>
                <c:pt idx="104">
                  <c:v>4.1754603698491115</c:v>
                </c:pt>
                <c:pt idx="105">
                  <c:v>4.1632494733620602</c:v>
                </c:pt>
                <c:pt idx="106">
                  <c:v>4.1708756889373557</c:v>
                </c:pt>
                <c:pt idx="107">
                  <c:v>4.1678341542738035</c:v>
                </c:pt>
                <c:pt idx="108">
                  <c:v>4.1662910080255759</c:v>
                </c:pt>
                <c:pt idx="109">
                  <c:v>4.1724188351855833</c:v>
                </c:pt>
                <c:pt idx="110">
                  <c:v>4.1776919099424896</c:v>
                </c:pt>
                <c:pt idx="111">
                  <c:v>4.2838897804588001</c:v>
                </c:pt>
                <c:pt idx="112">
                  <c:v>3.9554600631995571</c:v>
                </c:pt>
                <c:pt idx="113">
                  <c:v>2.5193070321776938</c:v>
                </c:pt>
                <c:pt idx="114">
                  <c:v>1.2077093603054774</c:v>
                </c:pt>
                <c:pt idx="115">
                  <c:v>0.1095106650423701</c:v>
                </c:pt>
                <c:pt idx="116">
                  <c:v>-1.0459082041578225</c:v>
                </c:pt>
                <c:pt idx="117">
                  <c:v>-1.901553113980615</c:v>
                </c:pt>
                <c:pt idx="118">
                  <c:v>-3.3652014668132231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43.21416591788936</c:v>
                </c:pt>
                <c:pt idx="1">
                  <c:v>43.198985505390119</c:v>
                </c:pt>
                <c:pt idx="2">
                  <c:v>43.097711390262262</c:v>
                </c:pt>
                <c:pt idx="3">
                  <c:v>42.955275772599236</c:v>
                </c:pt>
                <c:pt idx="4">
                  <c:v>42.795313877304835</c:v>
                </c:pt>
                <c:pt idx="5">
                  <c:v>42.599627687508239</c:v>
                </c:pt>
                <c:pt idx="6">
                  <c:v>42.490064078706716</c:v>
                </c:pt>
                <c:pt idx="7">
                  <c:v>42.351318713554846</c:v>
                </c:pt>
                <c:pt idx="8">
                  <c:v>42.359303303383356</c:v>
                </c:pt>
                <c:pt idx="9">
                  <c:v>42.159419338700758</c:v>
                </c:pt>
                <c:pt idx="10">
                  <c:v>42.052442532599756</c:v>
                </c:pt>
                <c:pt idx="11">
                  <c:v>42.212045737856201</c:v>
                </c:pt>
                <c:pt idx="12">
                  <c:v>42.293204275714814</c:v>
                </c:pt>
                <c:pt idx="13">
                  <c:v>42.285145028437555</c:v>
                </c:pt>
                <c:pt idx="14">
                  <c:v>42.1407546058226</c:v>
                </c:pt>
                <c:pt idx="15">
                  <c:v>41.70626945239129</c:v>
                </c:pt>
                <c:pt idx="16">
                  <c:v>41.043776593286267</c:v>
                </c:pt>
                <c:pt idx="17">
                  <c:v>40.342267757670982</c:v>
                </c:pt>
                <c:pt idx="18">
                  <c:v>39.757778609798351</c:v>
                </c:pt>
                <c:pt idx="19">
                  <c:v>39.668317640133097</c:v>
                </c:pt>
                <c:pt idx="20">
                  <c:v>39.521213926902647</c:v>
                </c:pt>
                <c:pt idx="21">
                  <c:v>39.03222617013197</c:v>
                </c:pt>
                <c:pt idx="22">
                  <c:v>38.760323767430812</c:v>
                </c:pt>
                <c:pt idx="23">
                  <c:v>38.430260735491615</c:v>
                </c:pt>
                <c:pt idx="24">
                  <c:v>38.04964056454962</c:v>
                </c:pt>
                <c:pt idx="25">
                  <c:v>37.784235262202948</c:v>
                </c:pt>
                <c:pt idx="26">
                  <c:v>37.544400360695185</c:v>
                </c:pt>
                <c:pt idx="27">
                  <c:v>37.147636973177129</c:v>
                </c:pt>
                <c:pt idx="28">
                  <c:v>36.92267882333708</c:v>
                </c:pt>
                <c:pt idx="29">
                  <c:v>36.677575928260687</c:v>
                </c:pt>
                <c:pt idx="30">
                  <c:v>36.432488767721381</c:v>
                </c:pt>
                <c:pt idx="31">
                  <c:v>35.913832334687228</c:v>
                </c:pt>
                <c:pt idx="32">
                  <c:v>35.559527106398022</c:v>
                </c:pt>
                <c:pt idx="33">
                  <c:v>35.257060010221601</c:v>
                </c:pt>
                <c:pt idx="34">
                  <c:v>34.898960745077325</c:v>
                </c:pt>
                <c:pt idx="35">
                  <c:v>34.583929492685058</c:v>
                </c:pt>
                <c:pt idx="36">
                  <c:v>34.164964447730867</c:v>
                </c:pt>
                <c:pt idx="37">
                  <c:v>33.768774465150535</c:v>
                </c:pt>
                <c:pt idx="38">
                  <c:v>33.391627717479423</c:v>
                </c:pt>
                <c:pt idx="39">
                  <c:v>32.948648042509916</c:v>
                </c:pt>
                <c:pt idx="40">
                  <c:v>32.53007383407936</c:v>
                </c:pt>
                <c:pt idx="41">
                  <c:v>32.108638187819707</c:v>
                </c:pt>
                <c:pt idx="42">
                  <c:v>31.687409517155182</c:v>
                </c:pt>
                <c:pt idx="43">
                  <c:v>31.248073261934667</c:v>
                </c:pt>
                <c:pt idx="44">
                  <c:v>30.798751720067351</c:v>
                </c:pt>
                <c:pt idx="45">
                  <c:v>30.449247801523725</c:v>
                </c:pt>
                <c:pt idx="46">
                  <c:v>30.034365175201721</c:v>
                </c:pt>
                <c:pt idx="47">
                  <c:v>29.468045277998428</c:v>
                </c:pt>
                <c:pt idx="48">
                  <c:v>28.92437516254865</c:v>
                </c:pt>
                <c:pt idx="49">
                  <c:v>28.398837549045286</c:v>
                </c:pt>
                <c:pt idx="50">
                  <c:v>27.860280082950108</c:v>
                </c:pt>
                <c:pt idx="51">
                  <c:v>27.32241791663391</c:v>
                </c:pt>
                <c:pt idx="52">
                  <c:v>26.759305892023363</c:v>
                </c:pt>
                <c:pt idx="53">
                  <c:v>26.165443734369994</c:v>
                </c:pt>
                <c:pt idx="54">
                  <c:v>25.554439815052323</c:v>
                </c:pt>
                <c:pt idx="55">
                  <c:v>24.944859256707716</c:v>
                </c:pt>
                <c:pt idx="56">
                  <c:v>24.299503648503194</c:v>
                </c:pt>
                <c:pt idx="57">
                  <c:v>23.617096148576113</c:v>
                </c:pt>
                <c:pt idx="58">
                  <c:v>22.883342690198191</c:v>
                </c:pt>
                <c:pt idx="59">
                  <c:v>22.150250927148164</c:v>
                </c:pt>
                <c:pt idx="60">
                  <c:v>21.273587671303904</c:v>
                </c:pt>
                <c:pt idx="61">
                  <c:v>20.902586323236779</c:v>
                </c:pt>
                <c:pt idx="62">
                  <c:v>20.659085445859226</c:v>
                </c:pt>
                <c:pt idx="63">
                  <c:v>20.355868094070843</c:v>
                </c:pt>
                <c:pt idx="64">
                  <c:v>20.22055996101443</c:v>
                </c:pt>
                <c:pt idx="65">
                  <c:v>20.096145818709779</c:v>
                </c:pt>
                <c:pt idx="66">
                  <c:v>19.92766984465176</c:v>
                </c:pt>
                <c:pt idx="67">
                  <c:v>19.626652699457949</c:v>
                </c:pt>
                <c:pt idx="68">
                  <c:v>18.594929331401559</c:v>
                </c:pt>
                <c:pt idx="69">
                  <c:v>17.647351766388358</c:v>
                </c:pt>
                <c:pt idx="70">
                  <c:v>17.552701081557981</c:v>
                </c:pt>
                <c:pt idx="71">
                  <c:v>17.678760782069869</c:v>
                </c:pt>
                <c:pt idx="72">
                  <c:v>17.627529768878631</c:v>
                </c:pt>
                <c:pt idx="73">
                  <c:v>17.426402469433199</c:v>
                </c:pt>
                <c:pt idx="74">
                  <c:v>16.863081483709585</c:v>
                </c:pt>
                <c:pt idx="75">
                  <c:v>15.620007884664322</c:v>
                </c:pt>
                <c:pt idx="76">
                  <c:v>14.181303432232092</c:v>
                </c:pt>
                <c:pt idx="77">
                  <c:v>13.137684179346092</c:v>
                </c:pt>
                <c:pt idx="78">
                  <c:v>12.709353371379056</c:v>
                </c:pt>
                <c:pt idx="79">
                  <c:v>12.350339081273514</c:v>
                </c:pt>
                <c:pt idx="80">
                  <c:v>12.463669765550497</c:v>
                </c:pt>
                <c:pt idx="81">
                  <c:v>12.83186272530625</c:v>
                </c:pt>
                <c:pt idx="82">
                  <c:v>13.029528982088747</c:v>
                </c:pt>
                <c:pt idx="83">
                  <c:v>11.793428667425328</c:v>
                </c:pt>
                <c:pt idx="84">
                  <c:v>10.347811388521189</c:v>
                </c:pt>
                <c:pt idx="85">
                  <c:v>9.213142126160621</c:v>
                </c:pt>
                <c:pt idx="86">
                  <c:v>9.0393457442379876</c:v>
                </c:pt>
                <c:pt idx="87">
                  <c:v>9.1279746838676896</c:v>
                </c:pt>
                <c:pt idx="88">
                  <c:v>9.6604995013668429</c:v>
                </c:pt>
                <c:pt idx="89">
                  <c:v>9.6821572951725923</c:v>
                </c:pt>
                <c:pt idx="90">
                  <c:v>10.45326558640763</c:v>
                </c:pt>
                <c:pt idx="91">
                  <c:v>10.442531302494281</c:v>
                </c:pt>
                <c:pt idx="92">
                  <c:v>10.451074721626163</c:v>
                </c:pt>
                <c:pt idx="93">
                  <c:v>10.444722167275742</c:v>
                </c:pt>
                <c:pt idx="94">
                  <c:v>10.4488838568447</c:v>
                </c:pt>
                <c:pt idx="95">
                  <c:v>10.446913032057207</c:v>
                </c:pt>
                <c:pt idx="96">
                  <c:v>10.446692992063234</c:v>
                </c:pt>
                <c:pt idx="97">
                  <c:v>10.449103896838672</c:v>
                </c:pt>
                <c:pt idx="98">
                  <c:v>10.444502127281769</c:v>
                </c:pt>
                <c:pt idx="99">
                  <c:v>10.451294761620133</c:v>
                </c:pt>
                <c:pt idx="100">
                  <c:v>10.442311262500304</c:v>
                </c:pt>
                <c:pt idx="101">
                  <c:v>10.453485626401708</c:v>
                </c:pt>
                <c:pt idx="102">
                  <c:v>10.44169455894647</c:v>
                </c:pt>
                <c:pt idx="103">
                  <c:v>10.45191146517382</c:v>
                </c:pt>
                <c:pt idx="104">
                  <c:v>10.443885423728233</c:v>
                </c:pt>
                <c:pt idx="105">
                  <c:v>10.44972060039205</c:v>
                </c:pt>
                <c:pt idx="106">
                  <c:v>10.446076288510003</c:v>
                </c:pt>
                <c:pt idx="107">
                  <c:v>10.447529735610285</c:v>
                </c:pt>
                <c:pt idx="108">
                  <c:v>10.448267153291786</c:v>
                </c:pt>
                <c:pt idx="109">
                  <c:v>10.445338870828504</c:v>
                </c:pt>
                <c:pt idx="110">
                  <c:v>10.125212436046409</c:v>
                </c:pt>
                <c:pt idx="111">
                  <c:v>8.6256147387355746</c:v>
                </c:pt>
                <c:pt idx="112">
                  <c:v>7.2777108964228692</c:v>
                </c:pt>
                <c:pt idx="113">
                  <c:v>7.3488297049937579</c:v>
                </c:pt>
                <c:pt idx="114">
                  <c:v>7.8818249327266869</c:v>
                </c:pt>
                <c:pt idx="115">
                  <c:v>8.7109820810565619</c:v>
                </c:pt>
                <c:pt idx="116">
                  <c:v>8.1010218452350955</c:v>
                </c:pt>
                <c:pt idx="117">
                  <c:v>9.1105853102206904</c:v>
                </c:pt>
                <c:pt idx="11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D50-48D9-A1C2-0BFC8ABC3756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26A9-44CE-9B9D-948A8AC98817}"/>
              </c:ext>
            </c:extLst>
          </c:dPt>
          <c:xVal>
            <c:numRef>
              <c:f>Base!$I$2:$I$61</c:f>
              <c:numCache>
                <c:formatCode>General</c:formatCode>
                <c:ptCount val="60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AD50-48D9-A1C2-0BFC8ABC3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93C-4E66-9DC7-5860591BD24B}"/>
              </c:ext>
            </c:extLst>
          </c:dPt>
          <c:dPt>
            <c:idx val="1"/>
            <c:marker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593C-4E66-9DC7-5860591BD24B}"/>
              </c:ext>
            </c:extLst>
          </c:dPt>
          <c:dPt>
            <c:idx val="2"/>
            <c:marker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593C-4E66-9DC7-5860591BD24B}"/>
              </c:ext>
            </c:extLst>
          </c:dPt>
          <c:dPt>
            <c:idx val="3"/>
            <c:marker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593C-4E66-9DC7-5860591BD24B}"/>
              </c:ext>
            </c:extLst>
          </c:dPt>
          <c:dPt>
            <c:idx val="4"/>
            <c:marker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593C-4E66-9DC7-5860591BD24B}"/>
              </c:ext>
            </c:extLst>
          </c:dPt>
          <c:dPt>
            <c:idx val="5"/>
            <c:marker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593C-4E66-9DC7-5860591BD24B}"/>
              </c:ext>
            </c:extLst>
          </c:dPt>
          <c:dPt>
            <c:idx val="6"/>
            <c:marker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593C-4E66-9DC7-5860591BD24B}"/>
              </c:ext>
            </c:extLst>
          </c:dPt>
          <c:dPt>
            <c:idx val="7"/>
            <c:marker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593C-4E66-9DC7-5860591BD24B}"/>
              </c:ext>
            </c:extLst>
          </c:dPt>
          <c:dPt>
            <c:idx val="8"/>
            <c:marker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593C-4E66-9DC7-5860591BD24B}"/>
              </c:ext>
            </c:extLst>
          </c:dPt>
          <c:dPt>
            <c:idx val="9"/>
            <c:marker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593C-4E66-9DC7-5860591BD24B}"/>
              </c:ext>
            </c:extLst>
          </c:dPt>
          <c:dPt>
            <c:idx val="10"/>
            <c:marker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593C-4E66-9DC7-5860591BD24B}"/>
              </c:ext>
            </c:extLst>
          </c:dPt>
          <c:dPt>
            <c:idx val="11"/>
            <c:marker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593C-4E66-9DC7-5860591BD24B}"/>
              </c:ext>
            </c:extLst>
          </c:dPt>
          <c:dPt>
            <c:idx val="12"/>
            <c:marker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593C-4E66-9DC7-5860591BD24B}"/>
              </c:ext>
            </c:extLst>
          </c:dPt>
          <c:dPt>
            <c:idx val="13"/>
            <c:marker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593C-4E66-9DC7-5860591BD24B}"/>
              </c:ext>
            </c:extLst>
          </c:dPt>
          <c:dPt>
            <c:idx val="14"/>
            <c:marker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593C-4E66-9DC7-5860591BD24B}"/>
              </c:ext>
            </c:extLst>
          </c:dPt>
          <c:dPt>
            <c:idx val="15"/>
            <c:marker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593C-4E66-9DC7-5860591BD24B}"/>
              </c:ext>
            </c:extLst>
          </c:dPt>
          <c:dPt>
            <c:idx val="16"/>
            <c:marker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593C-4E66-9DC7-5860591BD24B}"/>
              </c:ext>
            </c:extLst>
          </c:dPt>
          <c:dPt>
            <c:idx val="17"/>
            <c:marker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593C-4E66-9DC7-5860591BD24B}"/>
              </c:ext>
            </c:extLst>
          </c:dPt>
          <c:dPt>
            <c:idx val="18"/>
            <c:marker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593C-4E66-9DC7-5860591BD24B}"/>
              </c:ext>
            </c:extLst>
          </c:dPt>
          <c:dPt>
            <c:idx val="19"/>
            <c:marker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321-4EEB-9568-F986D3A2262E}"/>
              </c:ext>
            </c:extLst>
          </c:dPt>
          <c:dPt>
            <c:idx val="20"/>
            <c:marker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321-4EEB-9568-F986D3A2262E}"/>
              </c:ext>
            </c:extLst>
          </c:dPt>
          <c:dPt>
            <c:idx val="21"/>
            <c:marker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321-4EEB-9568-F986D3A2262E}"/>
              </c:ext>
            </c:extLst>
          </c:dPt>
          <c:dPt>
            <c:idx val="22"/>
            <c:marker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321-4EEB-9568-F986D3A2262E}"/>
              </c:ext>
            </c:extLst>
          </c:dPt>
          <c:dPt>
            <c:idx val="23"/>
            <c:marker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321-4EEB-9568-F986D3A2262E}"/>
              </c:ext>
            </c:extLst>
          </c:dPt>
          <c:dPt>
            <c:idx val="24"/>
            <c:marker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321-4EEB-9568-F986D3A2262E}"/>
              </c:ext>
            </c:extLst>
          </c:dPt>
          <c:dPt>
            <c:idx val="25"/>
            <c:marker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321-4EEB-9568-F986D3A2262E}"/>
              </c:ext>
            </c:extLst>
          </c:dPt>
          <c:dPt>
            <c:idx val="26"/>
            <c:marker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321-4EEB-9568-F986D3A2262E}"/>
              </c:ext>
            </c:extLst>
          </c:dPt>
          <c:dPt>
            <c:idx val="27"/>
            <c:marker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321-4EEB-9568-F986D3A2262E}"/>
              </c:ext>
            </c:extLst>
          </c:dPt>
          <c:dPt>
            <c:idx val="28"/>
            <c:marker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321-4EEB-9568-F986D3A2262E}"/>
              </c:ext>
            </c:extLst>
          </c:dPt>
          <c:dPt>
            <c:idx val="29"/>
            <c:marker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321-4EEB-9568-F986D3A2262E}"/>
              </c:ext>
            </c:extLst>
          </c:dPt>
          <c:dPt>
            <c:idx val="30"/>
            <c:marker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321-4EEB-9568-F986D3A2262E}"/>
              </c:ext>
            </c:extLst>
          </c:dPt>
          <c:dPt>
            <c:idx val="31"/>
            <c:marker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321-4EEB-9568-F986D3A2262E}"/>
              </c:ext>
            </c:extLst>
          </c:dPt>
          <c:dPt>
            <c:idx val="32"/>
            <c:marker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321-4EEB-9568-F986D3A2262E}"/>
              </c:ext>
            </c:extLst>
          </c:dPt>
          <c:dPt>
            <c:idx val="33"/>
            <c:marker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321-4EEB-9568-F986D3A2262E}"/>
              </c:ext>
            </c:extLst>
          </c:dPt>
          <c:dPt>
            <c:idx val="34"/>
            <c:marker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321-4EEB-9568-F986D3A2262E}"/>
              </c:ext>
            </c:extLst>
          </c:dPt>
          <c:dPt>
            <c:idx val="35"/>
            <c:marker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321-4EEB-9568-F986D3A2262E}"/>
              </c:ext>
            </c:extLst>
          </c:dPt>
          <c:dPt>
            <c:idx val="36"/>
            <c:marker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321-4EEB-9568-F986D3A2262E}"/>
              </c:ext>
            </c:extLst>
          </c:dPt>
          <c:dPt>
            <c:idx val="37"/>
            <c:marker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321-4EEB-9568-F986D3A2262E}"/>
              </c:ext>
            </c:extLst>
          </c:dPt>
          <c:dPt>
            <c:idx val="38"/>
            <c:marker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321-4EEB-9568-F986D3A2262E}"/>
              </c:ext>
            </c:extLst>
          </c:dPt>
          <c:dPt>
            <c:idx val="39"/>
            <c:marker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321-4EEB-9568-F986D3A2262E}"/>
              </c:ext>
            </c:extLst>
          </c:dPt>
          <c:dPt>
            <c:idx val="40"/>
            <c:marker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321-4EEB-9568-F986D3A2262E}"/>
              </c:ext>
            </c:extLst>
          </c:dPt>
          <c:dPt>
            <c:idx val="41"/>
            <c:marker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321-4EEB-9568-F986D3A2262E}"/>
              </c:ext>
            </c:extLst>
          </c:dPt>
          <c:dPt>
            <c:idx val="42"/>
            <c:marker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321-4EEB-9568-F986D3A2262E}"/>
              </c:ext>
            </c:extLst>
          </c:dPt>
          <c:dPt>
            <c:idx val="43"/>
            <c:marker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321-4EEB-9568-F986D3A2262E}"/>
              </c:ext>
            </c:extLst>
          </c:dPt>
          <c:dPt>
            <c:idx val="44"/>
            <c:marker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321-4EEB-9568-F986D3A2262E}"/>
              </c:ext>
            </c:extLst>
          </c:dPt>
          <c:dPt>
            <c:idx val="45"/>
            <c:marker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321-4EEB-9568-F986D3A2262E}"/>
              </c:ext>
            </c:extLst>
          </c:dPt>
          <c:dPt>
            <c:idx val="46"/>
            <c:marker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321-4EEB-9568-F986D3A2262E}"/>
              </c:ext>
            </c:extLst>
          </c:dPt>
          <c:dPt>
            <c:idx val="47"/>
            <c:marker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321-4EEB-9568-F986D3A2262E}"/>
              </c:ext>
            </c:extLst>
          </c:dPt>
          <c:dPt>
            <c:idx val="48"/>
            <c:marker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321-4EEB-9568-F986D3A2262E}"/>
              </c:ext>
            </c:extLst>
          </c:dPt>
          <c:dPt>
            <c:idx val="49"/>
            <c:marker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321-4EEB-9568-F986D3A2262E}"/>
              </c:ext>
            </c:extLst>
          </c:dPt>
          <c:dPt>
            <c:idx val="50"/>
            <c:marker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321-4EEB-9568-F986D3A2262E}"/>
              </c:ext>
            </c:extLst>
          </c:dPt>
          <c:dPt>
            <c:idx val="51"/>
            <c:marker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321-4EEB-9568-F986D3A2262E}"/>
              </c:ext>
            </c:extLst>
          </c:dPt>
          <c:dPt>
            <c:idx val="52"/>
            <c:marker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321-4EEB-9568-F986D3A2262E}"/>
              </c:ext>
            </c:extLst>
          </c:dPt>
          <c:dPt>
            <c:idx val="53"/>
            <c:marker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321-4EEB-9568-F986D3A2262E}"/>
              </c:ext>
            </c:extLst>
          </c:dPt>
          <c:dPt>
            <c:idx val="54"/>
            <c:marker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321-4EEB-9568-F986D3A2262E}"/>
              </c:ext>
            </c:extLst>
          </c:dPt>
          <c:dPt>
            <c:idx val="55"/>
            <c:marker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321-4EEB-9568-F986D3A2262E}"/>
              </c:ext>
            </c:extLst>
          </c:dPt>
          <c:dPt>
            <c:idx val="56"/>
            <c:marker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321-4EEB-9568-F986D3A2262E}"/>
              </c:ext>
            </c:extLst>
          </c:dPt>
          <c:dPt>
            <c:idx val="57"/>
            <c:marker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321-4EEB-9568-F986D3A2262E}"/>
              </c:ext>
            </c:extLst>
          </c:dPt>
          <c:dPt>
            <c:idx val="58"/>
            <c:marker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321-4EEB-9568-F986D3A2262E}"/>
              </c:ext>
            </c:extLst>
          </c:dPt>
          <c:dPt>
            <c:idx val="59"/>
            <c:marker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A5FF-4015-B9BA-D554A27416D4}"/>
              </c:ext>
            </c:extLst>
          </c:dPt>
          <c:dPt>
            <c:idx val="60"/>
            <c:marker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A5FF-4015-B9BA-D554A27416D4}"/>
              </c:ext>
            </c:extLst>
          </c:dPt>
          <c:dPt>
            <c:idx val="61"/>
            <c:marker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A5FF-4015-B9BA-D554A27416D4}"/>
              </c:ext>
            </c:extLst>
          </c:dPt>
          <c:dPt>
            <c:idx val="62"/>
            <c:marker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A5FF-4015-B9BA-D554A27416D4}"/>
              </c:ext>
            </c:extLst>
          </c:dPt>
          <c:dPt>
            <c:idx val="63"/>
            <c:marker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A5FF-4015-B9BA-D554A27416D4}"/>
              </c:ext>
            </c:extLst>
          </c:dPt>
          <c:dPt>
            <c:idx val="64"/>
            <c:marker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A5FF-4015-B9BA-D554A27416D4}"/>
              </c:ext>
            </c:extLst>
          </c:dPt>
          <c:dPt>
            <c:idx val="65"/>
            <c:marker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A5FF-4015-B9BA-D554A27416D4}"/>
              </c:ext>
            </c:extLst>
          </c:dPt>
          <c:dPt>
            <c:idx val="66"/>
            <c:marker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A5FF-4015-B9BA-D554A27416D4}"/>
              </c:ext>
            </c:extLst>
          </c:dPt>
          <c:dPt>
            <c:idx val="67"/>
            <c:marker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A5FF-4015-B9BA-D554A27416D4}"/>
              </c:ext>
            </c:extLst>
          </c:dPt>
          <c:dPt>
            <c:idx val="68"/>
            <c:marker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A5FF-4015-B9BA-D554A27416D4}"/>
              </c:ext>
            </c:extLst>
          </c:dPt>
          <c:dPt>
            <c:idx val="69"/>
            <c:marker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A5FF-4015-B9BA-D554A27416D4}"/>
              </c:ext>
            </c:extLst>
          </c:dPt>
          <c:dPt>
            <c:idx val="70"/>
            <c:marker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A5FF-4015-B9BA-D554A27416D4}"/>
              </c:ext>
            </c:extLst>
          </c:dPt>
          <c:dPt>
            <c:idx val="71"/>
            <c:marker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A5FF-4015-B9BA-D554A27416D4}"/>
              </c:ext>
            </c:extLst>
          </c:dPt>
          <c:dPt>
            <c:idx val="72"/>
            <c:marker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A5FF-4015-B9BA-D554A27416D4}"/>
              </c:ext>
            </c:extLst>
          </c:dPt>
          <c:dPt>
            <c:idx val="73"/>
            <c:marker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A5FF-4015-B9BA-D554A27416D4}"/>
              </c:ext>
            </c:extLst>
          </c:dPt>
          <c:dPt>
            <c:idx val="74"/>
            <c:marker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A5FF-4015-B9BA-D554A27416D4}"/>
              </c:ext>
            </c:extLst>
          </c:dPt>
          <c:dPt>
            <c:idx val="75"/>
            <c:marker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A5FF-4015-B9BA-D554A27416D4}"/>
              </c:ext>
            </c:extLst>
          </c:dPt>
          <c:dPt>
            <c:idx val="76"/>
            <c:marker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A5FF-4015-B9BA-D554A27416D4}"/>
              </c:ext>
            </c:extLst>
          </c:dPt>
          <c:dPt>
            <c:idx val="77"/>
            <c:marker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A5FF-4015-B9BA-D554A27416D4}"/>
              </c:ext>
            </c:extLst>
          </c:dPt>
          <c:dPt>
            <c:idx val="78"/>
            <c:marker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A5FF-4015-B9BA-D554A27416D4}"/>
              </c:ext>
            </c:extLst>
          </c:dPt>
          <c:dPt>
            <c:idx val="79"/>
            <c:marker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A5FF-4015-B9BA-D554A27416D4}"/>
              </c:ext>
            </c:extLst>
          </c:dPt>
          <c:dPt>
            <c:idx val="80"/>
            <c:marker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A5FF-4015-B9BA-D554A27416D4}"/>
              </c:ext>
            </c:extLst>
          </c:dPt>
          <c:dPt>
            <c:idx val="81"/>
            <c:marker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A5FF-4015-B9BA-D554A27416D4}"/>
              </c:ext>
            </c:extLst>
          </c:dPt>
          <c:dPt>
            <c:idx val="82"/>
            <c:marker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A5FF-4015-B9BA-D554A27416D4}"/>
              </c:ext>
            </c:extLst>
          </c:dPt>
          <c:dPt>
            <c:idx val="83"/>
            <c:marker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A5FF-4015-B9BA-D554A27416D4}"/>
              </c:ext>
            </c:extLst>
          </c:dPt>
          <c:dPt>
            <c:idx val="84"/>
            <c:marker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A5FF-4015-B9BA-D554A27416D4}"/>
              </c:ext>
            </c:extLst>
          </c:dPt>
          <c:dPt>
            <c:idx val="85"/>
            <c:marker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A5FF-4015-B9BA-D554A27416D4}"/>
              </c:ext>
            </c:extLst>
          </c:dPt>
          <c:dPt>
            <c:idx val="86"/>
            <c:marker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A5FF-4015-B9BA-D554A27416D4}"/>
              </c:ext>
            </c:extLst>
          </c:dPt>
          <c:dPt>
            <c:idx val="87"/>
            <c:marker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A5FF-4015-B9BA-D554A27416D4}"/>
              </c:ext>
            </c:extLst>
          </c:dPt>
          <c:dPt>
            <c:idx val="88"/>
            <c:marker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A5FF-4015-B9BA-D554A27416D4}"/>
              </c:ext>
            </c:extLst>
          </c:dPt>
          <c:dPt>
            <c:idx val="89"/>
            <c:marker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A5FF-4015-B9BA-D554A27416D4}"/>
              </c:ext>
            </c:extLst>
          </c:dPt>
          <c:dPt>
            <c:idx val="90"/>
            <c:marker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A5FF-4015-B9BA-D554A27416D4}"/>
              </c:ext>
            </c:extLst>
          </c:dPt>
          <c:dPt>
            <c:idx val="91"/>
            <c:marker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A5FF-4015-B9BA-D554A27416D4}"/>
              </c:ext>
            </c:extLst>
          </c:dPt>
          <c:dPt>
            <c:idx val="92"/>
            <c:marker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A5FF-4015-B9BA-D554A27416D4}"/>
              </c:ext>
            </c:extLst>
          </c:dPt>
          <c:dPt>
            <c:idx val="93"/>
            <c:marker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A5FF-4015-B9BA-D554A27416D4}"/>
              </c:ext>
            </c:extLst>
          </c:dPt>
          <c:dPt>
            <c:idx val="94"/>
            <c:marker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A5FF-4015-B9BA-D554A27416D4}"/>
              </c:ext>
            </c:extLst>
          </c:dPt>
          <c:dPt>
            <c:idx val="95"/>
            <c:marker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A5FF-4015-B9BA-D554A27416D4}"/>
              </c:ext>
            </c:extLst>
          </c:dPt>
          <c:dPt>
            <c:idx val="96"/>
            <c:marker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A5FF-4015-B9BA-D554A27416D4}"/>
              </c:ext>
            </c:extLst>
          </c:dPt>
          <c:dPt>
            <c:idx val="97"/>
            <c:marker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A5FF-4015-B9BA-D554A27416D4}"/>
              </c:ext>
            </c:extLst>
          </c:dPt>
          <c:dPt>
            <c:idx val="98"/>
            <c:marker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A5FF-4015-B9BA-D554A27416D4}"/>
              </c:ext>
            </c:extLst>
          </c:dPt>
          <c:dPt>
            <c:idx val="99"/>
            <c:marker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A5FF-4015-B9BA-D554A27416D4}"/>
              </c:ext>
            </c:extLst>
          </c:dPt>
          <c:dPt>
            <c:idx val="100"/>
            <c:marker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A5FF-4015-B9BA-D554A27416D4}"/>
              </c:ext>
            </c:extLst>
          </c:dPt>
          <c:dPt>
            <c:idx val="101"/>
            <c:marker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A5FF-4015-B9BA-D554A27416D4}"/>
              </c:ext>
            </c:extLst>
          </c:dPt>
          <c:dPt>
            <c:idx val="102"/>
            <c:marker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A5FF-4015-B9BA-D554A27416D4}"/>
              </c:ext>
            </c:extLst>
          </c:dPt>
          <c:dPt>
            <c:idx val="103"/>
            <c:marker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A5FF-4015-B9BA-D554A27416D4}"/>
              </c:ext>
            </c:extLst>
          </c:dPt>
          <c:dPt>
            <c:idx val="104"/>
            <c:marker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A5FF-4015-B9BA-D554A27416D4}"/>
              </c:ext>
            </c:extLst>
          </c:dPt>
          <c:dPt>
            <c:idx val="105"/>
            <c:marker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A5FF-4015-B9BA-D554A27416D4}"/>
              </c:ext>
            </c:extLst>
          </c:dPt>
          <c:dPt>
            <c:idx val="106"/>
            <c:marker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A5FF-4015-B9BA-D554A27416D4}"/>
              </c:ext>
            </c:extLst>
          </c:dPt>
          <c:dPt>
            <c:idx val="107"/>
            <c:marker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A5FF-4015-B9BA-D554A27416D4}"/>
              </c:ext>
            </c:extLst>
          </c:dPt>
          <c:dPt>
            <c:idx val="108"/>
            <c:marker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A5FF-4015-B9BA-D554A27416D4}"/>
              </c:ext>
            </c:extLst>
          </c:dPt>
          <c:dPt>
            <c:idx val="109"/>
            <c:marker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A5FF-4015-B9BA-D554A27416D4}"/>
              </c:ext>
            </c:extLst>
          </c:dPt>
          <c:dPt>
            <c:idx val="110"/>
            <c:marker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A5FF-4015-B9BA-D554A27416D4}"/>
              </c:ext>
            </c:extLst>
          </c:dPt>
          <c:dPt>
            <c:idx val="111"/>
            <c:marker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A5FF-4015-B9BA-D554A27416D4}"/>
              </c:ext>
            </c:extLst>
          </c:dPt>
          <c:dPt>
            <c:idx val="112"/>
            <c:marker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A5FF-4015-B9BA-D554A27416D4}"/>
              </c:ext>
            </c:extLst>
          </c:dPt>
          <c:dPt>
            <c:idx val="113"/>
            <c:marker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A5FF-4015-B9BA-D554A27416D4}"/>
              </c:ext>
            </c:extLst>
          </c:dPt>
          <c:dPt>
            <c:idx val="114"/>
            <c:marker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A5FF-4015-B9BA-D554A27416D4}"/>
              </c:ext>
            </c:extLst>
          </c:dPt>
          <c:dPt>
            <c:idx val="115"/>
            <c:marker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A5FF-4015-B9BA-D554A27416D4}"/>
              </c:ext>
            </c:extLst>
          </c:dPt>
          <c:dPt>
            <c:idx val="116"/>
            <c:marker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A5FF-4015-B9BA-D554A27416D4}"/>
              </c:ext>
            </c:extLst>
          </c:dPt>
          <c:dPt>
            <c:idx val="117"/>
            <c:marker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A5FF-4015-B9BA-D554A27416D4}"/>
              </c:ext>
            </c:extLst>
          </c:dPt>
          <c:dPt>
            <c:idx val="118"/>
            <c:marker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A5FF-4015-B9BA-D554A27416D4}"/>
              </c:ext>
            </c:extLst>
          </c:dPt>
          <c:xVal>
            <c:numRef>
              <c:f>Arch!$G$2:$G$120</c:f>
              <c:numCache>
                <c:formatCode>General</c:formatCode>
                <c:ptCount val="119"/>
                <c:pt idx="0">
                  <c:v>-3.7838298576719716</c:v>
                </c:pt>
                <c:pt idx="1">
                  <c:v>-3.8131443894951689</c:v>
                </c:pt>
                <c:pt idx="2">
                  <c:v>-3.8607860285616491</c:v>
                </c:pt>
                <c:pt idx="3">
                  <c:v>-3.9188112700790674</c:v>
                </c:pt>
                <c:pt idx="4">
                  <c:v>-3.984840869706582</c:v>
                </c:pt>
                <c:pt idx="5">
                  <c:v>-4.0432970496456226</c:v>
                </c:pt>
                <c:pt idx="6">
                  <c:v>-4.065907289894918</c:v>
                </c:pt>
                <c:pt idx="7">
                  <c:v>-4.0233336052813238</c:v>
                </c:pt>
                <c:pt idx="8">
                  <c:v>-3.954967524428544</c:v>
                </c:pt>
                <c:pt idx="9">
                  <c:v>-3.950256108551446</c:v>
                </c:pt>
                <c:pt idx="10">
                  <c:v>-3.8233531323330587</c:v>
                </c:pt>
                <c:pt idx="11">
                  <c:v>-3.6497655924563128</c:v>
                </c:pt>
                <c:pt idx="12">
                  <c:v>-3.4461445173873235</c:v>
                </c:pt>
                <c:pt idx="13">
                  <c:v>-3.2849174790861473</c:v>
                </c:pt>
                <c:pt idx="14">
                  <c:v>-3.2656997826731424</c:v>
                </c:pt>
                <c:pt idx="15">
                  <c:v>-3.5179880430728394</c:v>
                </c:pt>
                <c:pt idx="16">
                  <c:v>-3.8771037630609366</c:v>
                </c:pt>
                <c:pt idx="17">
                  <c:v>-4.1962096457683877</c:v>
                </c:pt>
                <c:pt idx="18">
                  <c:v>-4.5051261072132762</c:v>
                </c:pt>
                <c:pt idx="19">
                  <c:v>-4.4906430711018501</c:v>
                </c:pt>
                <c:pt idx="20">
                  <c:v>-4.4970181253158028</c:v>
                </c:pt>
                <c:pt idx="21">
                  <c:v>-4.5589589277907203</c:v>
                </c:pt>
                <c:pt idx="22">
                  <c:v>-4.5434320722488533</c:v>
                </c:pt>
                <c:pt idx="23">
                  <c:v>-4.6062746151618601</c:v>
                </c:pt>
                <c:pt idx="24">
                  <c:v>-4.6998745641485895</c:v>
                </c:pt>
                <c:pt idx="25">
                  <c:v>-4.7222737547462943</c:v>
                </c:pt>
                <c:pt idx="26">
                  <c:v>-4.7303815648589707</c:v>
                </c:pt>
                <c:pt idx="27">
                  <c:v>-4.8020920119080248</c:v>
                </c:pt>
                <c:pt idx="28">
                  <c:v>-4.8102518205416853</c:v>
                </c:pt>
                <c:pt idx="29">
                  <c:v>-4.8267938702636313</c:v>
                </c:pt>
                <c:pt idx="30">
                  <c:v>-4.8497132283936359</c:v>
                </c:pt>
                <c:pt idx="31">
                  <c:v>-5.0467239302723588</c:v>
                </c:pt>
                <c:pt idx="32">
                  <c:v>-5.1203544869356357</c:v>
                </c:pt>
                <c:pt idx="33">
                  <c:v>-5.1459233859640356</c:v>
                </c:pt>
                <c:pt idx="34">
                  <c:v>-5.2146642956777924</c:v>
                </c:pt>
                <c:pt idx="35">
                  <c:v>-5.2130888285899122</c:v>
                </c:pt>
                <c:pt idx="36">
                  <c:v>-5.2741648427603014</c:v>
                </c:pt>
                <c:pt idx="37">
                  <c:v>-5.3181135022530484</c:v>
                </c:pt>
                <c:pt idx="38">
                  <c:v>-5.3457050919740539</c:v>
                </c:pt>
                <c:pt idx="39">
                  <c:v>-5.4198006421718947</c:v>
                </c:pt>
                <c:pt idx="40">
                  <c:v>-5.4735906878860536</c:v>
                </c:pt>
                <c:pt idx="41">
                  <c:v>-5.5325448429423867</c:v>
                </c:pt>
                <c:pt idx="42">
                  <c:v>-5.5927440194246358</c:v>
                </c:pt>
                <c:pt idx="43">
                  <c:v>-5.6641568434297769</c:v>
                </c:pt>
                <c:pt idx="44">
                  <c:v>-5.7421790179141903</c:v>
                </c:pt>
                <c:pt idx="45">
                  <c:v>-5.7757422567665415</c:v>
                </c:pt>
                <c:pt idx="46">
                  <c:v>-5.8411205688658656</c:v>
                </c:pt>
                <c:pt idx="47">
                  <c:v>-5.9738103098756348</c:v>
                </c:pt>
                <c:pt idx="48">
                  <c:v>-6.010756249765997</c:v>
                </c:pt>
                <c:pt idx="49">
                  <c:v>-5.9947201110747663</c:v>
                </c:pt>
                <c:pt idx="50">
                  <c:v>-5.9770611031010308</c:v>
                </c:pt>
                <c:pt idx="51">
                  <c:v>-5.9594169450661285</c:v>
                </c:pt>
                <c:pt idx="52">
                  <c:v>-5.9477151568154767</c:v>
                </c:pt>
                <c:pt idx="53">
                  <c:v>-5.9412621628107196</c:v>
                </c:pt>
                <c:pt idx="54">
                  <c:v>-5.9367473060387104</c:v>
                </c:pt>
                <c:pt idx="55">
                  <c:v>-5.9327924267352463</c:v>
                </c:pt>
                <c:pt idx="56">
                  <c:v>-5.9311845947123718</c:v>
                </c:pt>
                <c:pt idx="57">
                  <c:v>-5.9316513288312134</c:v>
                </c:pt>
                <c:pt idx="58">
                  <c:v>-5.9642966332241594</c:v>
                </c:pt>
                <c:pt idx="59">
                  <c:v>-6.173663857190185</c:v>
                </c:pt>
                <c:pt idx="60">
                  <c:v>-6.3462792995071062</c:v>
                </c:pt>
                <c:pt idx="61">
                  <c:v>-6.5060855474357799</c:v>
                </c:pt>
                <c:pt idx="62">
                  <c:v>-6.642353847965409</c:v>
                </c:pt>
                <c:pt idx="63">
                  <c:v>-6.8081637703669227</c:v>
                </c:pt>
                <c:pt idx="64">
                  <c:v>-6.95688219084371</c:v>
                </c:pt>
                <c:pt idx="65">
                  <c:v>-7.0291302128025519</c:v>
                </c:pt>
                <c:pt idx="66">
                  <c:v>-7.1075655614317164</c:v>
                </c:pt>
                <c:pt idx="67">
                  <c:v>-7.196449625628798</c:v>
                </c:pt>
                <c:pt idx="68">
                  <c:v>-7.3793842013848252</c:v>
                </c:pt>
                <c:pt idx="69">
                  <c:v>-7.524612153419989</c:v>
                </c:pt>
                <c:pt idx="70">
                  <c:v>-7.4950970739921878</c:v>
                </c:pt>
                <c:pt idx="71">
                  <c:v>-7.5009471189238788</c:v>
                </c:pt>
                <c:pt idx="72">
                  <c:v>-7.4255048394966501</c:v>
                </c:pt>
                <c:pt idx="73">
                  <c:v>-7.3595931872289286</c:v>
                </c:pt>
                <c:pt idx="74">
                  <c:v>-7.544358000322843</c:v>
                </c:pt>
                <c:pt idx="75">
                  <c:v>-7.8311787282194478</c:v>
                </c:pt>
                <c:pt idx="76">
                  <c:v>-7.9649374559350798</c:v>
                </c:pt>
                <c:pt idx="77">
                  <c:v>-7.9043198586135475</c:v>
                </c:pt>
                <c:pt idx="78">
                  <c:v>-7.8295478674430221</c:v>
                </c:pt>
                <c:pt idx="79">
                  <c:v>-7.3188983630736786</c:v>
                </c:pt>
                <c:pt idx="80">
                  <c:v>-7.0055201736597521</c:v>
                </c:pt>
                <c:pt idx="81">
                  <c:v>-6.6323817839237389</c:v>
                </c:pt>
                <c:pt idx="82">
                  <c:v>-6.2117835280822948</c:v>
                </c:pt>
                <c:pt idx="83">
                  <c:v>-6.7834318816123069</c:v>
                </c:pt>
                <c:pt idx="84">
                  <c:v>-7.0965479736732435</c:v>
                </c:pt>
                <c:pt idx="85">
                  <c:v>-7.0097378403216188</c:v>
                </c:pt>
                <c:pt idx="86">
                  <c:v>-6.5680696682567588</c:v>
                </c:pt>
                <c:pt idx="87">
                  <c:v>-6.1459035296846469</c:v>
                </c:pt>
                <c:pt idx="88">
                  <c:v>-5.699509349937717</c:v>
                </c:pt>
                <c:pt idx="89">
                  <c:v>-5.2451429916010559</c:v>
                </c:pt>
                <c:pt idx="90">
                  <c:v>-4.7261141622650147</c:v>
                </c:pt>
                <c:pt idx="91">
                  <c:v>-4.7306106178800551</c:v>
                </c:pt>
                <c:pt idx="92">
                  <c:v>-4.7270318877814956</c:v>
                </c:pt>
                <c:pt idx="93">
                  <c:v>-4.7296928923635768</c:v>
                </c:pt>
                <c:pt idx="94">
                  <c:v>-4.727949613297973</c:v>
                </c:pt>
                <c:pt idx="95">
                  <c:v>-4.7287751668470985</c:v>
                </c:pt>
                <c:pt idx="96">
                  <c:v>-4.7288673388144531</c:v>
                </c:pt>
                <c:pt idx="97">
                  <c:v>-4.7278574413306185</c:v>
                </c:pt>
                <c:pt idx="98">
                  <c:v>-4.7297850643309314</c:v>
                </c:pt>
                <c:pt idx="99">
                  <c:v>-4.7269397158141429</c:v>
                </c:pt>
                <c:pt idx="100">
                  <c:v>-4.7307027898474105</c:v>
                </c:pt>
                <c:pt idx="101">
                  <c:v>-4.7260219902976166</c:v>
                </c:pt>
                <c:pt idx="102">
                  <c:v>-4.7309611191574819</c:v>
                </c:pt>
                <c:pt idx="103">
                  <c:v>-4.7266813865041311</c:v>
                </c:pt>
                <c:pt idx="104">
                  <c:v>-4.7300433936408783</c:v>
                </c:pt>
                <c:pt idx="105">
                  <c:v>-4.727599112020739</c:v>
                </c:pt>
                <c:pt idx="106">
                  <c:v>-4.7291256681242713</c:v>
                </c:pt>
                <c:pt idx="107">
                  <c:v>-4.7285168375373425</c:v>
                </c:pt>
                <c:pt idx="108">
                  <c:v>-4.7282079426076606</c:v>
                </c:pt>
                <c:pt idx="109">
                  <c:v>-4.729434563053954</c:v>
                </c:pt>
                <c:pt idx="110">
                  <c:v>-4.8262488355298254</c:v>
                </c:pt>
                <c:pt idx="111">
                  <c:v>-5.0669446160444629</c:v>
                </c:pt>
                <c:pt idx="112">
                  <c:v>-4.7974044527719046</c:v>
                </c:pt>
                <c:pt idx="113">
                  <c:v>-4.2853790297980385</c:v>
                </c:pt>
                <c:pt idx="114">
                  <c:v>-3.6961647654295051</c:v>
                </c:pt>
                <c:pt idx="115">
                  <c:v>-3.0706497404665223</c:v>
                </c:pt>
                <c:pt idx="116">
                  <c:v>-2.8077231344722966</c:v>
                </c:pt>
                <c:pt idx="117">
                  <c:v>-2.074784656018227</c:v>
                </c:pt>
                <c:pt idx="118">
                  <c:v>-1.764511022728896</c:v>
                </c:pt>
              </c:numCache>
            </c:numRef>
          </c:xVal>
          <c:yVal>
            <c:numRef>
              <c:f>Arch!$I$2:$I$120</c:f>
              <c:numCache>
                <c:formatCode>General</c:formatCode>
                <c:ptCount val="119"/>
                <c:pt idx="0">
                  <c:v>0.46405775722723652</c:v>
                </c:pt>
                <c:pt idx="1">
                  <c:v>1.2383259323481755</c:v>
                </c:pt>
                <c:pt idx="2">
                  <c:v>2.0023783915429614</c:v>
                </c:pt>
                <c:pt idx="3">
                  <c:v>2.7626295603015825</c:v>
                </c:pt>
                <c:pt idx="4">
                  <c:v>3.5163084260374329</c:v>
                </c:pt>
                <c:pt idx="5">
                  <c:v>4.2569094285887017</c:v>
                </c:pt>
                <c:pt idx="6">
                  <c:v>5.0097597941938918</c:v>
                </c:pt>
                <c:pt idx="7">
                  <c:v>5.760751110056102</c:v>
                </c:pt>
                <c:pt idx="8">
                  <c:v>6.5317115610237879</c:v>
                </c:pt>
                <c:pt idx="9">
                  <c:v>7.2419962744591588</c:v>
                </c:pt>
                <c:pt idx="10">
                  <c:v>7.9751118795383844</c:v>
                </c:pt>
                <c:pt idx="11">
                  <c:v>8.7127470155278743</c:v>
                </c:pt>
                <c:pt idx="12">
                  <c:v>9.4577444588077899</c:v>
                </c:pt>
                <c:pt idx="13">
                  <c:v>10.216994920510437</c:v>
                </c:pt>
                <c:pt idx="14">
                  <c:v>10.972750496085112</c:v>
                </c:pt>
                <c:pt idx="15">
                  <c:v>11.539361853505397</c:v>
                </c:pt>
                <c:pt idx="16">
                  <c:v>11.696668914516664</c:v>
                </c:pt>
                <c:pt idx="17">
                  <c:v>11.788382676882955</c:v>
                </c:pt>
                <c:pt idx="18">
                  <c:v>12.146503985500914</c:v>
                </c:pt>
                <c:pt idx="19">
                  <c:v>12.914137580081288</c:v>
                </c:pt>
                <c:pt idx="20">
                  <c:v>13.669010295363153</c:v>
                </c:pt>
                <c:pt idx="21">
                  <c:v>14.254679946403305</c:v>
                </c:pt>
                <c:pt idx="22">
                  <c:v>14.974123889630617</c:v>
                </c:pt>
                <c:pt idx="23">
                  <c:v>15.669907904564305</c:v>
                </c:pt>
                <c:pt idx="24">
                  <c:v>16.334304863878202</c:v>
                </c:pt>
                <c:pt idx="25">
                  <c:v>17.061308667252284</c:v>
                </c:pt>
                <c:pt idx="26">
                  <c:v>17.798645612345101</c:v>
                </c:pt>
                <c:pt idx="27">
                  <c:v>18.462487983004216</c:v>
                </c:pt>
                <c:pt idx="28">
                  <c:v>19.204428205005705</c:v>
                </c:pt>
                <c:pt idx="29">
                  <c:v>19.939402611703152</c:v>
                </c:pt>
                <c:pt idx="30">
                  <c:v>20.671427755701853</c:v>
                </c:pt>
                <c:pt idx="31">
                  <c:v>21.201062291768604</c:v>
                </c:pt>
                <c:pt idx="32">
                  <c:v>21.876834397102073</c:v>
                </c:pt>
                <c:pt idx="33">
                  <c:v>22.591225555805668</c:v>
                </c:pt>
                <c:pt idx="34">
                  <c:v>23.2765562136989</c:v>
                </c:pt>
                <c:pt idx="35">
                  <c:v>23.986575784782481</c:v>
                </c:pt>
                <c:pt idx="36">
                  <c:v>24.631818081052621</c:v>
                </c:pt>
                <c:pt idx="37">
                  <c:v>25.295330317473656</c:v>
                </c:pt>
                <c:pt idx="38">
                  <c:v>25.972200736383797</c:v>
                </c:pt>
                <c:pt idx="39">
                  <c:v>26.605783957972243</c:v>
                </c:pt>
                <c:pt idx="40">
                  <c:v>27.258429402232562</c:v>
                </c:pt>
                <c:pt idx="41">
                  <c:v>27.908508649874477</c:v>
                </c:pt>
                <c:pt idx="42">
                  <c:v>28.55828522335004</c:v>
                </c:pt>
                <c:pt idx="43">
                  <c:v>29.193870839981329</c:v>
                </c:pt>
                <c:pt idx="44">
                  <c:v>29.823297273914132</c:v>
                </c:pt>
                <c:pt idx="45">
                  <c:v>30.512990696707011</c:v>
                </c:pt>
                <c:pt idx="46">
                  <c:v>31.162703957516307</c:v>
                </c:pt>
                <c:pt idx="47">
                  <c:v>31.676345986702412</c:v>
                </c:pt>
                <c:pt idx="48">
                  <c:v>32.226251494694381</c:v>
                </c:pt>
                <c:pt idx="49">
                  <c:v>32.797553259187204</c:v>
                </c:pt>
                <c:pt idx="50">
                  <c:v>33.357480316598682</c:v>
                </c:pt>
                <c:pt idx="51">
                  <c:v>33.916727207393585</c:v>
                </c:pt>
                <c:pt idx="52">
                  <c:v>34.450674708972414</c:v>
                </c:pt>
                <c:pt idx="53">
                  <c:v>34.95216197402894</c:v>
                </c:pt>
                <c:pt idx="54">
                  <c:v>35.432199401851207</c:v>
                </c:pt>
                <c:pt idx="55">
                  <c:v>35.91416396456723</c:v>
                </c:pt>
                <c:pt idx="56">
                  <c:v>36.347404376863757</c:v>
                </c:pt>
                <c:pt idx="57">
                  <c:v>36.718456512941579</c:v>
                </c:pt>
                <c:pt idx="58">
                  <c:v>36.9570051349925</c:v>
                </c:pt>
                <c:pt idx="59">
                  <c:v>36.891185867610552</c:v>
                </c:pt>
                <c:pt idx="60">
                  <c:v>35.679174033353391</c:v>
                </c:pt>
                <c:pt idx="61">
                  <c:v>34.182800325781386</c:v>
                </c:pt>
                <c:pt idx="62">
                  <c:v>32.66652726028137</c:v>
                </c:pt>
                <c:pt idx="63">
                  <c:v>31.187377128431045</c:v>
                </c:pt>
                <c:pt idx="64">
                  <c:v>29.762643536734473</c:v>
                </c:pt>
                <c:pt idx="65">
                  <c:v>28.230186513193136</c:v>
                </c:pt>
                <c:pt idx="66">
                  <c:v>26.70299918479666</c:v>
                </c:pt>
                <c:pt idx="67">
                  <c:v>25.195434680425393</c:v>
                </c:pt>
                <c:pt idx="68">
                  <c:v>24.216095462323594</c:v>
                </c:pt>
                <c:pt idx="69">
                  <c:v>23.070206504966087</c:v>
                </c:pt>
                <c:pt idx="70">
                  <c:v>21.536587418236536</c:v>
                </c:pt>
                <c:pt idx="71">
                  <c:v>19.997950871973938</c:v>
                </c:pt>
                <c:pt idx="72">
                  <c:v>18.451548093460577</c:v>
                </c:pt>
                <c:pt idx="73">
                  <c:v>16.919705250272518</c:v>
                </c:pt>
                <c:pt idx="74">
                  <c:v>16.844340690943806</c:v>
                </c:pt>
                <c:pt idx="75">
                  <c:v>17.704465341732721</c:v>
                </c:pt>
                <c:pt idx="76">
                  <c:v>18.191016314732337</c:v>
                </c:pt>
                <c:pt idx="77">
                  <c:v>17.173508617662741</c:v>
                </c:pt>
                <c:pt idx="78">
                  <c:v>15.685753586041667</c:v>
                </c:pt>
                <c:pt idx="79">
                  <c:v>14.275044141228747</c:v>
                </c:pt>
                <c:pt idx="80">
                  <c:v>12.774336706039614</c:v>
                </c:pt>
                <c:pt idx="81">
                  <c:v>11.335703035899147</c:v>
                </c:pt>
                <c:pt idx="82">
                  <c:v>10.063824806927144</c:v>
                </c:pt>
                <c:pt idx="83">
                  <c:v>10.754707502887436</c:v>
                </c:pt>
                <c:pt idx="84">
                  <c:v>11.201049377494256</c:v>
                </c:pt>
                <c:pt idx="85">
                  <c:v>10.525611101847611</c:v>
                </c:pt>
                <c:pt idx="86">
                  <c:v>9.0555807851379342</c:v>
                </c:pt>
                <c:pt idx="87">
                  <c:v>7.5758152995255568</c:v>
                </c:pt>
                <c:pt idx="88">
                  <c:v>6.2093984452955331</c:v>
                </c:pt>
                <c:pt idx="89">
                  <c:v>4.9824187477082731</c:v>
                </c:pt>
                <c:pt idx="90">
                  <c:v>4.1558311105980463</c:v>
                </c:pt>
                <c:pt idx="91">
                  <c:v>4.1782940517016698</c:v>
                </c:pt>
                <c:pt idx="92">
                  <c:v>4.1604157915091697</c:v>
                </c:pt>
                <c:pt idx="93">
                  <c:v>4.1737093707905579</c:v>
                </c:pt>
                <c:pt idx="94">
                  <c:v>4.1650004724202816</c:v>
                </c:pt>
                <c:pt idx="95">
                  <c:v>4.1691246898794398</c:v>
                </c:pt>
                <c:pt idx="96">
                  <c:v>4.1695851533314006</c:v>
                </c:pt>
                <c:pt idx="97">
                  <c:v>4.1645400089683218</c:v>
                </c:pt>
                <c:pt idx="98">
                  <c:v>4.1741698342425178</c:v>
                </c:pt>
                <c:pt idx="99">
                  <c:v>4.159955328057217</c:v>
                </c:pt>
                <c:pt idx="100">
                  <c:v>4.1787545151536358</c:v>
                </c:pt>
                <c:pt idx="101">
                  <c:v>4.1553706471458653</c:v>
                </c:pt>
                <c:pt idx="102">
                  <c:v>4.180045050760854</c:v>
                </c:pt>
                <c:pt idx="103">
                  <c:v>4.1586647924503044</c:v>
                </c:pt>
                <c:pt idx="104">
                  <c:v>4.1754603698491115</c:v>
                </c:pt>
                <c:pt idx="105">
                  <c:v>4.1632494733620602</c:v>
                </c:pt>
                <c:pt idx="106">
                  <c:v>4.1708756889373557</c:v>
                </c:pt>
                <c:pt idx="107">
                  <c:v>4.1678341542738035</c:v>
                </c:pt>
                <c:pt idx="108">
                  <c:v>4.1662910080255759</c:v>
                </c:pt>
                <c:pt idx="109">
                  <c:v>4.1724188351855833</c:v>
                </c:pt>
                <c:pt idx="110">
                  <c:v>4.1776919099424896</c:v>
                </c:pt>
                <c:pt idx="111">
                  <c:v>4.2838897804588001</c:v>
                </c:pt>
                <c:pt idx="112">
                  <c:v>3.9554600631995571</c:v>
                </c:pt>
                <c:pt idx="113">
                  <c:v>2.5193070321776938</c:v>
                </c:pt>
                <c:pt idx="114">
                  <c:v>1.2077093603054774</c:v>
                </c:pt>
                <c:pt idx="115">
                  <c:v>0.1095106650423701</c:v>
                </c:pt>
                <c:pt idx="116">
                  <c:v>-1.0459082041578225</c:v>
                </c:pt>
                <c:pt idx="117">
                  <c:v>-1.901553113980615</c:v>
                </c:pt>
                <c:pt idx="118">
                  <c:v>-3.3652014668132231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93C-4E66-9DC7-5860591BD24B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2B-593C-4E66-9DC7-5860591BD24B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</c:numCache>
            </c:numRef>
          </c:xVal>
          <c:yVal>
            <c:numRef>
              <c:f>Base!$I$2:$I$61</c:f>
              <c:numCache>
                <c:formatCode>General</c:formatCode>
                <c:ptCount val="60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93C-4E66-9DC7-5860591BD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Combined!$B$1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7A9-4FBE-AC9B-F41407005A37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7A9-4FBE-AC9B-F41407005A37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7A9-4FBE-AC9B-F41407005A37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7A9-4FBE-AC9B-F41407005A37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7A9-4FBE-AC9B-F41407005A37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7A9-4FBE-AC9B-F41407005A37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07A9-4FBE-AC9B-F41407005A37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7A9-4FBE-AC9B-F41407005A37}"/>
              </c:ext>
            </c:extLst>
          </c:dPt>
          <c:dPt>
            <c:idx val="8"/>
            <c:marker>
              <c:symbol val="circle"/>
              <c:size val="6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7A9-4FBE-AC9B-F41407005A37}"/>
              </c:ext>
            </c:extLst>
          </c:dPt>
          <c:dPt>
            <c:idx val="9"/>
            <c:marker>
              <c:symbol val="circle"/>
              <c:size val="6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7A9-4FBE-AC9B-F41407005A37}"/>
              </c:ext>
            </c:extLst>
          </c:dPt>
          <c:dPt>
            <c:idx val="10"/>
            <c:marker>
              <c:symbol val="circle"/>
              <c:size val="6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07A9-4FBE-AC9B-F41407005A37}"/>
              </c:ext>
            </c:extLst>
          </c:dPt>
          <c:dPt>
            <c:idx val="11"/>
            <c:marker>
              <c:symbol val="circle"/>
              <c:size val="6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07A9-4FBE-AC9B-F41407005A37}"/>
              </c:ext>
            </c:extLst>
          </c:dPt>
          <c:dPt>
            <c:idx val="12"/>
            <c:marker>
              <c:symbol val="circle"/>
              <c:size val="6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07A9-4FBE-AC9B-F41407005A37}"/>
              </c:ext>
            </c:extLst>
          </c:dPt>
          <c:dPt>
            <c:idx val="13"/>
            <c:marker>
              <c:symbol val="circle"/>
              <c:size val="6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07A9-4FBE-AC9B-F41407005A37}"/>
              </c:ext>
            </c:extLst>
          </c:dPt>
          <c:dPt>
            <c:idx val="14"/>
            <c:marker>
              <c:symbol val="circle"/>
              <c:size val="6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07A9-4FBE-AC9B-F41407005A37}"/>
              </c:ext>
            </c:extLst>
          </c:dPt>
          <c:dPt>
            <c:idx val="15"/>
            <c:marker>
              <c:symbol val="circle"/>
              <c:size val="6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07A9-4FBE-AC9B-F41407005A37}"/>
              </c:ext>
            </c:extLst>
          </c:dPt>
          <c:dPt>
            <c:idx val="16"/>
            <c:marker>
              <c:symbol val="circle"/>
              <c:size val="6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07A9-4FBE-AC9B-F41407005A37}"/>
              </c:ext>
            </c:extLst>
          </c:dPt>
          <c:dPt>
            <c:idx val="17"/>
            <c:marker>
              <c:symbol val="circle"/>
              <c:size val="6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07A9-4FBE-AC9B-F41407005A37}"/>
              </c:ext>
            </c:extLst>
          </c:dPt>
          <c:dPt>
            <c:idx val="18"/>
            <c:marker>
              <c:symbol val="circle"/>
              <c:size val="6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07A9-4FBE-AC9B-F41407005A37}"/>
              </c:ext>
            </c:extLst>
          </c:dPt>
          <c:dPt>
            <c:idx val="19"/>
            <c:marker>
              <c:symbol val="circle"/>
              <c:size val="6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07A9-4FBE-AC9B-F41407005A37}"/>
              </c:ext>
            </c:extLst>
          </c:dPt>
          <c:dPt>
            <c:idx val="20"/>
            <c:marker>
              <c:symbol val="circle"/>
              <c:size val="6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07A9-4FBE-AC9B-F41407005A37}"/>
              </c:ext>
            </c:extLst>
          </c:dPt>
          <c:dPt>
            <c:idx val="21"/>
            <c:marker>
              <c:symbol val="circle"/>
              <c:size val="6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07A9-4FBE-AC9B-F41407005A37}"/>
              </c:ext>
            </c:extLst>
          </c:dPt>
          <c:dPt>
            <c:idx val="22"/>
            <c:marker>
              <c:symbol val="circle"/>
              <c:size val="6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07A9-4FBE-AC9B-F41407005A37}"/>
              </c:ext>
            </c:extLst>
          </c:dPt>
          <c:dPt>
            <c:idx val="23"/>
            <c:marker>
              <c:symbol val="circle"/>
              <c:size val="6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07A9-4FBE-AC9B-F41407005A37}"/>
              </c:ext>
            </c:extLst>
          </c:dPt>
          <c:dPt>
            <c:idx val="24"/>
            <c:marker>
              <c:symbol val="circle"/>
              <c:size val="6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07A9-4FBE-AC9B-F41407005A37}"/>
              </c:ext>
            </c:extLst>
          </c:dPt>
          <c:dPt>
            <c:idx val="25"/>
            <c:marker>
              <c:symbol val="circle"/>
              <c:size val="6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07A9-4FBE-AC9B-F41407005A37}"/>
              </c:ext>
            </c:extLst>
          </c:dPt>
          <c:dPt>
            <c:idx val="26"/>
            <c:marker>
              <c:symbol val="circle"/>
              <c:size val="6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07A9-4FBE-AC9B-F41407005A37}"/>
              </c:ext>
            </c:extLst>
          </c:dPt>
          <c:dPt>
            <c:idx val="27"/>
            <c:marker>
              <c:symbol val="circle"/>
              <c:size val="6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07A9-4FBE-AC9B-F41407005A37}"/>
              </c:ext>
            </c:extLst>
          </c:dPt>
          <c:dPt>
            <c:idx val="28"/>
            <c:marker>
              <c:symbol val="circle"/>
              <c:size val="6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07A9-4FBE-AC9B-F41407005A37}"/>
              </c:ext>
            </c:extLst>
          </c:dPt>
          <c:dPt>
            <c:idx val="29"/>
            <c:marker>
              <c:symbol val="circle"/>
              <c:size val="6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07A9-4FBE-AC9B-F41407005A37}"/>
              </c:ext>
            </c:extLst>
          </c:dPt>
          <c:dPt>
            <c:idx val="30"/>
            <c:marker>
              <c:symbol val="circle"/>
              <c:size val="6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07A9-4FBE-AC9B-F41407005A37}"/>
              </c:ext>
            </c:extLst>
          </c:dPt>
          <c:dPt>
            <c:idx val="31"/>
            <c:marker>
              <c:symbol val="circle"/>
              <c:size val="6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07A9-4FBE-AC9B-F41407005A37}"/>
              </c:ext>
            </c:extLst>
          </c:dPt>
          <c:dPt>
            <c:idx val="32"/>
            <c:marker>
              <c:symbol val="circle"/>
              <c:size val="6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07A9-4FBE-AC9B-F41407005A37}"/>
              </c:ext>
            </c:extLst>
          </c:dPt>
          <c:dPt>
            <c:idx val="33"/>
            <c:marker>
              <c:symbol val="circle"/>
              <c:size val="6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07A9-4FBE-AC9B-F41407005A37}"/>
              </c:ext>
            </c:extLst>
          </c:dPt>
          <c:dPt>
            <c:idx val="34"/>
            <c:marker>
              <c:symbol val="circle"/>
              <c:size val="6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07A9-4FBE-AC9B-F41407005A37}"/>
              </c:ext>
            </c:extLst>
          </c:dPt>
          <c:dPt>
            <c:idx val="35"/>
            <c:marker>
              <c:symbol val="circle"/>
              <c:size val="6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07A9-4FBE-AC9B-F41407005A37}"/>
              </c:ext>
            </c:extLst>
          </c:dPt>
          <c:dPt>
            <c:idx val="36"/>
            <c:marker>
              <c:symbol val="circle"/>
              <c:size val="6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07A9-4FBE-AC9B-F41407005A37}"/>
              </c:ext>
            </c:extLst>
          </c:dPt>
          <c:dPt>
            <c:idx val="37"/>
            <c:marker>
              <c:symbol val="circle"/>
              <c:size val="6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07A9-4FBE-AC9B-F41407005A37}"/>
              </c:ext>
            </c:extLst>
          </c:dPt>
          <c:dPt>
            <c:idx val="38"/>
            <c:marker>
              <c:symbol val="circle"/>
              <c:size val="6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07A9-4FBE-AC9B-F41407005A37}"/>
              </c:ext>
            </c:extLst>
          </c:dPt>
          <c:dPt>
            <c:idx val="39"/>
            <c:marker>
              <c:symbol val="circle"/>
              <c:size val="6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40B-4B19-9790-B6DF4BE52E99}"/>
              </c:ext>
            </c:extLst>
          </c:dPt>
          <c:dPt>
            <c:idx val="40"/>
            <c:marker>
              <c:symbol val="circle"/>
              <c:size val="6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B40B-4B19-9790-B6DF4BE52E99}"/>
              </c:ext>
            </c:extLst>
          </c:dPt>
          <c:dPt>
            <c:idx val="41"/>
            <c:marker>
              <c:symbol val="circle"/>
              <c:size val="6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B40B-4B19-9790-B6DF4BE52E99}"/>
              </c:ext>
            </c:extLst>
          </c:dPt>
          <c:dPt>
            <c:idx val="42"/>
            <c:marker>
              <c:symbol val="circle"/>
              <c:size val="6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B40B-4B19-9790-B6DF4BE52E99}"/>
              </c:ext>
            </c:extLst>
          </c:dPt>
          <c:dPt>
            <c:idx val="43"/>
            <c:marker>
              <c:symbol val="circle"/>
              <c:size val="6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B40B-4B19-9790-B6DF4BE52E99}"/>
              </c:ext>
            </c:extLst>
          </c:dPt>
          <c:dPt>
            <c:idx val="44"/>
            <c:marker>
              <c:symbol val="circle"/>
              <c:size val="6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B40B-4B19-9790-B6DF4BE52E99}"/>
              </c:ext>
            </c:extLst>
          </c:dPt>
          <c:dPt>
            <c:idx val="45"/>
            <c:marker>
              <c:symbol val="circle"/>
              <c:size val="6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B40B-4B19-9790-B6DF4BE52E99}"/>
              </c:ext>
            </c:extLst>
          </c:dPt>
          <c:dPt>
            <c:idx val="46"/>
            <c:marker>
              <c:symbol val="circle"/>
              <c:size val="6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B40B-4B19-9790-B6DF4BE52E99}"/>
              </c:ext>
            </c:extLst>
          </c:dPt>
          <c:dPt>
            <c:idx val="47"/>
            <c:marker>
              <c:symbol val="circle"/>
              <c:size val="6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B40B-4B19-9790-B6DF4BE52E99}"/>
              </c:ext>
            </c:extLst>
          </c:dPt>
          <c:dPt>
            <c:idx val="48"/>
            <c:marker>
              <c:symbol val="circle"/>
              <c:size val="6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B40B-4B19-9790-B6DF4BE52E99}"/>
              </c:ext>
            </c:extLst>
          </c:dPt>
          <c:dPt>
            <c:idx val="49"/>
            <c:marker>
              <c:symbol val="circle"/>
              <c:size val="6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B40B-4B19-9790-B6DF4BE52E99}"/>
              </c:ext>
            </c:extLst>
          </c:dPt>
          <c:dPt>
            <c:idx val="50"/>
            <c:marker>
              <c:symbol val="circle"/>
              <c:size val="6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B40B-4B19-9790-B6DF4BE52E99}"/>
              </c:ext>
            </c:extLst>
          </c:dPt>
          <c:dPt>
            <c:idx val="51"/>
            <c:marker>
              <c:symbol val="circle"/>
              <c:size val="6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B40B-4B19-9790-B6DF4BE52E99}"/>
              </c:ext>
            </c:extLst>
          </c:dPt>
          <c:dPt>
            <c:idx val="52"/>
            <c:marker>
              <c:symbol val="circle"/>
              <c:size val="6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B40B-4B19-9790-B6DF4BE52E99}"/>
              </c:ext>
            </c:extLst>
          </c:dPt>
          <c:dPt>
            <c:idx val="53"/>
            <c:marker>
              <c:symbol val="circle"/>
              <c:size val="6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B40B-4B19-9790-B6DF4BE52E99}"/>
              </c:ext>
            </c:extLst>
          </c:dPt>
          <c:dPt>
            <c:idx val="54"/>
            <c:marker>
              <c:symbol val="circle"/>
              <c:size val="6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B40B-4B19-9790-B6DF4BE52E99}"/>
              </c:ext>
            </c:extLst>
          </c:dPt>
          <c:dPt>
            <c:idx val="55"/>
            <c:marker>
              <c:symbol val="circle"/>
              <c:size val="6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B40B-4B19-9790-B6DF4BE52E99}"/>
              </c:ext>
            </c:extLst>
          </c:dPt>
          <c:dPt>
            <c:idx val="56"/>
            <c:marker>
              <c:symbol val="circle"/>
              <c:size val="6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B40B-4B19-9790-B6DF4BE52E99}"/>
              </c:ext>
            </c:extLst>
          </c:dPt>
          <c:dPt>
            <c:idx val="57"/>
            <c:marker>
              <c:symbol val="circle"/>
              <c:size val="6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B40B-4B19-9790-B6DF4BE52E99}"/>
              </c:ext>
            </c:extLst>
          </c:dPt>
          <c:dPt>
            <c:idx val="58"/>
            <c:marker>
              <c:symbol val="circle"/>
              <c:size val="6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B40B-4B19-9790-B6DF4BE52E99}"/>
              </c:ext>
            </c:extLst>
          </c:dPt>
          <c:dPt>
            <c:idx val="59"/>
            <c:marker>
              <c:symbol val="circle"/>
              <c:size val="6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B40B-4B19-9790-B6DF4BE52E99}"/>
              </c:ext>
            </c:extLst>
          </c:dPt>
          <c:dPt>
            <c:idx val="60"/>
            <c:marker>
              <c:symbol val="triangle"/>
              <c:size val="10"/>
              <c:spPr>
                <a:solidFill>
                  <a:srgbClr val="96FF01"/>
                </a:solidFill>
                <a:ln w="9525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B40B-4B19-9790-B6DF4BE52E99}"/>
              </c:ext>
            </c:extLst>
          </c:dPt>
          <c:dPt>
            <c:idx val="61"/>
            <c:marker>
              <c:symbol val="circle"/>
              <c:size val="6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B40B-4B19-9790-B6DF4BE52E99}"/>
              </c:ext>
            </c:extLst>
          </c:dPt>
          <c:dPt>
            <c:idx val="62"/>
            <c:marker>
              <c:symbol val="circle"/>
              <c:size val="6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B40B-4B19-9790-B6DF4BE52E99}"/>
              </c:ext>
            </c:extLst>
          </c:dPt>
          <c:dPt>
            <c:idx val="63"/>
            <c:marker>
              <c:symbol val="circle"/>
              <c:size val="6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B40B-4B19-9790-B6DF4BE52E99}"/>
              </c:ext>
            </c:extLst>
          </c:dPt>
          <c:dPt>
            <c:idx val="64"/>
            <c:marker>
              <c:symbol val="circle"/>
              <c:size val="6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B40B-4B19-9790-B6DF4BE52E99}"/>
              </c:ext>
            </c:extLst>
          </c:dPt>
          <c:dPt>
            <c:idx val="65"/>
            <c:marker>
              <c:symbol val="circle"/>
              <c:size val="6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B40B-4B19-9790-B6DF4BE52E99}"/>
              </c:ext>
            </c:extLst>
          </c:dPt>
          <c:dPt>
            <c:idx val="66"/>
            <c:marker>
              <c:symbol val="circle"/>
              <c:size val="6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B40B-4B19-9790-B6DF4BE52E99}"/>
              </c:ext>
            </c:extLst>
          </c:dPt>
          <c:dPt>
            <c:idx val="67"/>
            <c:marker>
              <c:symbol val="circle"/>
              <c:size val="6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B40B-4B19-9790-B6DF4BE52E99}"/>
              </c:ext>
            </c:extLst>
          </c:dPt>
          <c:dPt>
            <c:idx val="68"/>
            <c:marker>
              <c:symbol val="circle"/>
              <c:size val="6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B40B-4B19-9790-B6DF4BE52E99}"/>
              </c:ext>
            </c:extLst>
          </c:dPt>
          <c:dPt>
            <c:idx val="69"/>
            <c:marker>
              <c:symbol val="circle"/>
              <c:size val="6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B40B-4B19-9790-B6DF4BE52E99}"/>
              </c:ext>
            </c:extLst>
          </c:dPt>
          <c:dPt>
            <c:idx val="70"/>
            <c:marker>
              <c:symbol val="circle"/>
              <c:size val="6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B40B-4B19-9790-B6DF4BE52E99}"/>
              </c:ext>
            </c:extLst>
          </c:dPt>
          <c:dPt>
            <c:idx val="71"/>
            <c:marker>
              <c:symbol val="circle"/>
              <c:size val="6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B40B-4B19-9790-B6DF4BE52E99}"/>
              </c:ext>
            </c:extLst>
          </c:dPt>
          <c:dPt>
            <c:idx val="72"/>
            <c:marker>
              <c:symbol val="circle"/>
              <c:size val="6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B40B-4B19-9790-B6DF4BE52E99}"/>
              </c:ext>
            </c:extLst>
          </c:dPt>
          <c:dPt>
            <c:idx val="73"/>
            <c:marker>
              <c:symbol val="circle"/>
              <c:size val="6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B40B-4B19-9790-B6DF4BE52E99}"/>
              </c:ext>
            </c:extLst>
          </c:dPt>
          <c:dPt>
            <c:idx val="74"/>
            <c:marker>
              <c:symbol val="circle"/>
              <c:size val="6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B40B-4B19-9790-B6DF4BE52E99}"/>
              </c:ext>
            </c:extLst>
          </c:dPt>
          <c:dPt>
            <c:idx val="75"/>
            <c:marker>
              <c:symbol val="circle"/>
              <c:size val="6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B40B-4B19-9790-B6DF4BE52E99}"/>
              </c:ext>
            </c:extLst>
          </c:dPt>
          <c:dPt>
            <c:idx val="76"/>
            <c:marker>
              <c:symbol val="circle"/>
              <c:size val="6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B40B-4B19-9790-B6DF4BE52E99}"/>
              </c:ext>
            </c:extLst>
          </c:dPt>
          <c:dPt>
            <c:idx val="77"/>
            <c:marker>
              <c:symbol val="circle"/>
              <c:size val="6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B40B-4B19-9790-B6DF4BE52E99}"/>
              </c:ext>
            </c:extLst>
          </c:dPt>
          <c:dPt>
            <c:idx val="78"/>
            <c:marker>
              <c:symbol val="circle"/>
              <c:size val="6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B40B-4B19-9790-B6DF4BE52E99}"/>
              </c:ext>
            </c:extLst>
          </c:dPt>
          <c:dPt>
            <c:idx val="79"/>
            <c:marker>
              <c:symbol val="circle"/>
              <c:size val="6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DF11-42F4-BA85-068B8B71C58B}"/>
              </c:ext>
            </c:extLst>
          </c:dPt>
          <c:dPt>
            <c:idx val="80"/>
            <c:marker>
              <c:symbol val="circle"/>
              <c:size val="6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DF11-42F4-BA85-068B8B71C58B}"/>
              </c:ext>
            </c:extLst>
          </c:dPt>
          <c:dPt>
            <c:idx val="81"/>
            <c:marker>
              <c:symbol val="circle"/>
              <c:size val="6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DF11-42F4-BA85-068B8B71C58B}"/>
              </c:ext>
            </c:extLst>
          </c:dPt>
          <c:dPt>
            <c:idx val="82"/>
            <c:marker>
              <c:symbol val="circle"/>
              <c:size val="6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DF11-42F4-BA85-068B8B71C58B}"/>
              </c:ext>
            </c:extLst>
          </c:dPt>
          <c:dPt>
            <c:idx val="83"/>
            <c:marker>
              <c:symbol val="circle"/>
              <c:size val="6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DF11-42F4-BA85-068B8B71C58B}"/>
              </c:ext>
            </c:extLst>
          </c:dPt>
          <c:dPt>
            <c:idx val="84"/>
            <c:marker>
              <c:symbol val="circle"/>
              <c:size val="6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DF11-42F4-BA85-068B8B71C58B}"/>
              </c:ext>
            </c:extLst>
          </c:dPt>
          <c:dPt>
            <c:idx val="85"/>
            <c:marker>
              <c:symbol val="circle"/>
              <c:size val="6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DF11-42F4-BA85-068B8B71C58B}"/>
              </c:ext>
            </c:extLst>
          </c:dPt>
          <c:dPt>
            <c:idx val="86"/>
            <c:marker>
              <c:symbol val="circle"/>
              <c:size val="6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DF11-42F4-BA85-068B8B71C58B}"/>
              </c:ext>
            </c:extLst>
          </c:dPt>
          <c:dPt>
            <c:idx val="87"/>
            <c:marker>
              <c:symbol val="circle"/>
              <c:size val="6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DF11-42F4-BA85-068B8B71C58B}"/>
              </c:ext>
            </c:extLst>
          </c:dPt>
          <c:dPt>
            <c:idx val="88"/>
            <c:marker>
              <c:symbol val="circle"/>
              <c:size val="6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DF11-42F4-BA85-068B8B71C58B}"/>
              </c:ext>
            </c:extLst>
          </c:dPt>
          <c:dPt>
            <c:idx val="89"/>
            <c:marker>
              <c:symbol val="circle"/>
              <c:size val="6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DF11-42F4-BA85-068B8B71C58B}"/>
              </c:ext>
            </c:extLst>
          </c:dPt>
          <c:dPt>
            <c:idx val="90"/>
            <c:marker>
              <c:symbol val="circle"/>
              <c:size val="6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DF11-42F4-BA85-068B8B71C58B}"/>
              </c:ext>
            </c:extLst>
          </c:dPt>
          <c:dPt>
            <c:idx val="91"/>
            <c:marker>
              <c:symbol val="circle"/>
              <c:size val="6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DF11-42F4-BA85-068B8B71C58B}"/>
              </c:ext>
            </c:extLst>
          </c:dPt>
          <c:dPt>
            <c:idx val="92"/>
            <c:marker>
              <c:symbol val="circle"/>
              <c:size val="6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DF11-42F4-BA85-068B8B71C58B}"/>
              </c:ext>
            </c:extLst>
          </c:dPt>
          <c:dPt>
            <c:idx val="93"/>
            <c:marker>
              <c:symbol val="circle"/>
              <c:size val="6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DF11-42F4-BA85-068B8B71C58B}"/>
              </c:ext>
            </c:extLst>
          </c:dPt>
          <c:dPt>
            <c:idx val="94"/>
            <c:marker>
              <c:symbol val="circle"/>
              <c:size val="6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DF11-42F4-BA85-068B8B71C58B}"/>
              </c:ext>
            </c:extLst>
          </c:dPt>
          <c:dPt>
            <c:idx val="95"/>
            <c:marker>
              <c:symbol val="circle"/>
              <c:size val="6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DF11-42F4-BA85-068B8B71C58B}"/>
              </c:ext>
            </c:extLst>
          </c:dPt>
          <c:dPt>
            <c:idx val="96"/>
            <c:marker>
              <c:symbol val="circle"/>
              <c:size val="6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DF11-42F4-BA85-068B8B71C58B}"/>
              </c:ext>
            </c:extLst>
          </c:dPt>
          <c:dPt>
            <c:idx val="97"/>
            <c:marker>
              <c:symbol val="circle"/>
              <c:size val="6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DF11-42F4-BA85-068B8B71C58B}"/>
              </c:ext>
            </c:extLst>
          </c:dPt>
          <c:dPt>
            <c:idx val="98"/>
            <c:marker>
              <c:symbol val="circle"/>
              <c:size val="6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DF11-42F4-BA85-068B8B71C58B}"/>
              </c:ext>
            </c:extLst>
          </c:dPt>
          <c:dPt>
            <c:idx val="99"/>
            <c:marker>
              <c:symbol val="circle"/>
              <c:size val="6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DF11-42F4-BA85-068B8B71C58B}"/>
              </c:ext>
            </c:extLst>
          </c:dPt>
          <c:dPt>
            <c:idx val="100"/>
            <c:marker>
              <c:symbol val="circle"/>
              <c:size val="6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DF11-42F4-BA85-068B8B71C58B}"/>
              </c:ext>
            </c:extLst>
          </c:dPt>
          <c:dPt>
            <c:idx val="101"/>
            <c:marker>
              <c:symbol val="circle"/>
              <c:size val="6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DF11-42F4-BA85-068B8B71C58B}"/>
              </c:ext>
            </c:extLst>
          </c:dPt>
          <c:dPt>
            <c:idx val="102"/>
            <c:marker>
              <c:symbol val="circle"/>
              <c:size val="6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DF11-42F4-BA85-068B8B71C58B}"/>
              </c:ext>
            </c:extLst>
          </c:dPt>
          <c:dPt>
            <c:idx val="103"/>
            <c:marker>
              <c:symbol val="circle"/>
              <c:size val="6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DF11-42F4-BA85-068B8B71C58B}"/>
              </c:ext>
            </c:extLst>
          </c:dPt>
          <c:dPt>
            <c:idx val="104"/>
            <c:marker>
              <c:symbol val="circle"/>
              <c:size val="6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DF11-42F4-BA85-068B8B71C58B}"/>
              </c:ext>
            </c:extLst>
          </c:dPt>
          <c:dPt>
            <c:idx val="105"/>
            <c:marker>
              <c:symbol val="circle"/>
              <c:size val="6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DF11-42F4-BA85-068B8B71C58B}"/>
              </c:ext>
            </c:extLst>
          </c:dPt>
          <c:dPt>
            <c:idx val="106"/>
            <c:marker>
              <c:symbol val="circle"/>
              <c:size val="6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DF11-42F4-BA85-068B8B71C58B}"/>
              </c:ext>
            </c:extLst>
          </c:dPt>
          <c:dPt>
            <c:idx val="107"/>
            <c:marker>
              <c:symbol val="circle"/>
              <c:size val="6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DF11-42F4-BA85-068B8B71C58B}"/>
              </c:ext>
            </c:extLst>
          </c:dPt>
          <c:dPt>
            <c:idx val="108"/>
            <c:marker>
              <c:symbol val="circle"/>
              <c:size val="6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DF11-42F4-BA85-068B8B71C58B}"/>
              </c:ext>
            </c:extLst>
          </c:dPt>
          <c:dPt>
            <c:idx val="109"/>
            <c:marker>
              <c:symbol val="circle"/>
              <c:size val="6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DF11-42F4-BA85-068B8B71C58B}"/>
              </c:ext>
            </c:extLst>
          </c:dPt>
          <c:dPt>
            <c:idx val="110"/>
            <c:marker>
              <c:symbol val="circle"/>
              <c:size val="6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DF11-42F4-BA85-068B8B71C58B}"/>
              </c:ext>
            </c:extLst>
          </c:dPt>
          <c:dPt>
            <c:idx val="111"/>
            <c:marker>
              <c:symbol val="circle"/>
              <c:size val="6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DF11-42F4-BA85-068B8B71C58B}"/>
              </c:ext>
            </c:extLst>
          </c:dPt>
          <c:dPt>
            <c:idx val="112"/>
            <c:marker>
              <c:symbol val="circle"/>
              <c:size val="6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DF11-42F4-BA85-068B8B71C58B}"/>
              </c:ext>
            </c:extLst>
          </c:dPt>
          <c:dPt>
            <c:idx val="113"/>
            <c:marker>
              <c:symbol val="circle"/>
              <c:size val="6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DF11-42F4-BA85-068B8B71C58B}"/>
              </c:ext>
            </c:extLst>
          </c:dPt>
          <c:dPt>
            <c:idx val="114"/>
            <c:marker>
              <c:symbol val="circle"/>
              <c:size val="6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DF11-42F4-BA85-068B8B71C58B}"/>
              </c:ext>
            </c:extLst>
          </c:dPt>
          <c:dPt>
            <c:idx val="115"/>
            <c:marker>
              <c:symbol val="circle"/>
              <c:size val="6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DF11-42F4-BA85-068B8B71C58B}"/>
              </c:ext>
            </c:extLst>
          </c:dPt>
          <c:dPt>
            <c:idx val="116"/>
            <c:marker>
              <c:symbol val="circle"/>
              <c:size val="6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DF11-42F4-BA85-068B8B71C58B}"/>
              </c:ext>
            </c:extLst>
          </c:dPt>
          <c:dPt>
            <c:idx val="117"/>
            <c:marker>
              <c:symbol val="circle"/>
              <c:size val="6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DF11-42F4-BA85-068B8B71C58B}"/>
              </c:ext>
            </c:extLst>
          </c:dPt>
          <c:dPt>
            <c:idx val="118"/>
            <c:marker>
              <c:symbol val="circle"/>
              <c:size val="6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DF11-42F4-BA85-068B8B71C58B}"/>
              </c:ext>
            </c:extLst>
          </c:dPt>
          <c:dPt>
            <c:idx val="119"/>
            <c:marker>
              <c:symbol val="circle"/>
              <c:size val="6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DF11-42F4-BA85-068B8B71C58B}"/>
              </c:ext>
            </c:extLst>
          </c:dPt>
          <c:dPt>
            <c:idx val="120"/>
            <c:marker>
              <c:symbol val="circle"/>
              <c:size val="6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DF11-42F4-BA85-068B8B71C58B}"/>
              </c:ext>
            </c:extLst>
          </c:dPt>
          <c:dPt>
            <c:idx val="121"/>
            <c:marker>
              <c:symbol val="circle"/>
              <c:size val="6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DF11-42F4-BA85-068B8B71C58B}"/>
              </c:ext>
            </c:extLst>
          </c:dPt>
          <c:dPt>
            <c:idx val="122"/>
            <c:marker>
              <c:symbol val="circle"/>
              <c:size val="6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DF11-42F4-BA85-068B8B71C58B}"/>
              </c:ext>
            </c:extLst>
          </c:dPt>
          <c:dPt>
            <c:idx val="123"/>
            <c:marker>
              <c:symbol val="circle"/>
              <c:size val="6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DF11-42F4-BA85-068B8B71C58B}"/>
              </c:ext>
            </c:extLst>
          </c:dPt>
          <c:dPt>
            <c:idx val="124"/>
            <c:marker>
              <c:symbol val="circle"/>
              <c:size val="6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DF11-42F4-BA85-068B8B71C58B}"/>
              </c:ext>
            </c:extLst>
          </c:dPt>
          <c:dPt>
            <c:idx val="125"/>
            <c:marker>
              <c:symbol val="circle"/>
              <c:size val="6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DF11-42F4-BA85-068B8B71C58B}"/>
              </c:ext>
            </c:extLst>
          </c:dPt>
          <c:dPt>
            <c:idx val="126"/>
            <c:marker>
              <c:symbol val="circle"/>
              <c:size val="6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DF11-42F4-BA85-068B8B71C58B}"/>
              </c:ext>
            </c:extLst>
          </c:dPt>
          <c:dPt>
            <c:idx val="127"/>
            <c:marker>
              <c:symbol val="circle"/>
              <c:size val="6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DF11-42F4-BA85-068B8B71C58B}"/>
              </c:ext>
            </c:extLst>
          </c:dPt>
          <c:dPt>
            <c:idx val="128"/>
            <c:marker>
              <c:symbol val="circle"/>
              <c:size val="6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DF11-42F4-BA85-068B8B71C58B}"/>
              </c:ext>
            </c:extLst>
          </c:dPt>
          <c:dPt>
            <c:idx val="129"/>
            <c:marker>
              <c:symbol val="circle"/>
              <c:size val="6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DF11-42F4-BA85-068B8B71C58B}"/>
              </c:ext>
            </c:extLst>
          </c:dPt>
          <c:dPt>
            <c:idx val="130"/>
            <c:marker>
              <c:symbol val="circle"/>
              <c:size val="6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DF11-42F4-BA85-068B8B71C58B}"/>
              </c:ext>
            </c:extLst>
          </c:dPt>
          <c:dPt>
            <c:idx val="131"/>
            <c:marker>
              <c:symbol val="circle"/>
              <c:size val="6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DF11-42F4-BA85-068B8B71C58B}"/>
              </c:ext>
            </c:extLst>
          </c:dPt>
          <c:dPt>
            <c:idx val="132"/>
            <c:marker>
              <c:symbol val="circle"/>
              <c:size val="6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DF11-42F4-BA85-068B8B71C58B}"/>
              </c:ext>
            </c:extLst>
          </c:dPt>
          <c:dPt>
            <c:idx val="133"/>
            <c:marker>
              <c:symbol val="circle"/>
              <c:size val="6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DF11-42F4-BA85-068B8B71C58B}"/>
              </c:ext>
            </c:extLst>
          </c:dPt>
          <c:dPt>
            <c:idx val="134"/>
            <c:marker>
              <c:symbol val="circle"/>
              <c:size val="6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DF11-42F4-BA85-068B8B71C58B}"/>
              </c:ext>
            </c:extLst>
          </c:dPt>
          <c:dPt>
            <c:idx val="135"/>
            <c:marker>
              <c:symbol val="circle"/>
              <c:size val="6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DF11-42F4-BA85-068B8B71C58B}"/>
              </c:ext>
            </c:extLst>
          </c:dPt>
          <c:dPt>
            <c:idx val="136"/>
            <c:marker>
              <c:symbol val="circle"/>
              <c:size val="6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DF11-42F4-BA85-068B8B71C58B}"/>
              </c:ext>
            </c:extLst>
          </c:dPt>
          <c:dPt>
            <c:idx val="137"/>
            <c:marker>
              <c:symbol val="circle"/>
              <c:size val="6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DF11-42F4-BA85-068B8B71C58B}"/>
              </c:ext>
            </c:extLst>
          </c:dPt>
          <c:dPt>
            <c:idx val="138"/>
            <c:marker>
              <c:symbol val="circle"/>
              <c:size val="6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DF11-42F4-BA85-068B8B71C58B}"/>
              </c:ext>
            </c:extLst>
          </c:dPt>
          <c:dPt>
            <c:idx val="139"/>
            <c:marker>
              <c:symbol val="circle"/>
              <c:size val="6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DF11-42F4-BA85-068B8B71C58B}"/>
              </c:ext>
            </c:extLst>
          </c:dPt>
          <c:dPt>
            <c:idx val="140"/>
            <c:marker>
              <c:symbol val="circle"/>
              <c:size val="6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DF11-42F4-BA85-068B8B71C58B}"/>
              </c:ext>
            </c:extLst>
          </c:dPt>
          <c:dPt>
            <c:idx val="141"/>
            <c:marker>
              <c:symbol val="circle"/>
              <c:size val="6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DF11-42F4-BA85-068B8B71C58B}"/>
              </c:ext>
            </c:extLst>
          </c:dPt>
          <c:dPt>
            <c:idx val="142"/>
            <c:marker>
              <c:symbol val="circle"/>
              <c:size val="6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DF11-42F4-BA85-068B8B71C58B}"/>
              </c:ext>
            </c:extLst>
          </c:dPt>
          <c:dPt>
            <c:idx val="143"/>
            <c:marker>
              <c:symbol val="circle"/>
              <c:size val="6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DF11-42F4-BA85-068B8B71C58B}"/>
              </c:ext>
            </c:extLst>
          </c:dPt>
          <c:dPt>
            <c:idx val="144"/>
            <c:marker>
              <c:symbol val="circle"/>
              <c:size val="6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DF11-42F4-BA85-068B8B71C58B}"/>
              </c:ext>
            </c:extLst>
          </c:dPt>
          <c:dPt>
            <c:idx val="145"/>
            <c:marker>
              <c:symbol val="circle"/>
              <c:size val="6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DF11-42F4-BA85-068B8B71C58B}"/>
              </c:ext>
            </c:extLst>
          </c:dPt>
          <c:dPt>
            <c:idx val="146"/>
            <c:marker>
              <c:symbol val="circle"/>
              <c:size val="6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DF11-42F4-BA85-068B8B71C58B}"/>
              </c:ext>
            </c:extLst>
          </c:dPt>
          <c:dPt>
            <c:idx val="147"/>
            <c:marker>
              <c:symbol val="circle"/>
              <c:size val="6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DF11-42F4-BA85-068B8B71C58B}"/>
              </c:ext>
            </c:extLst>
          </c:dPt>
          <c:dPt>
            <c:idx val="148"/>
            <c:marker>
              <c:symbol val="circle"/>
              <c:size val="6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DF11-42F4-BA85-068B8B71C58B}"/>
              </c:ext>
            </c:extLst>
          </c:dPt>
          <c:dPt>
            <c:idx val="149"/>
            <c:marker>
              <c:symbol val="circle"/>
              <c:size val="6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DF11-42F4-BA85-068B8B71C58B}"/>
              </c:ext>
            </c:extLst>
          </c:dPt>
          <c:dPt>
            <c:idx val="150"/>
            <c:marker>
              <c:symbol val="circle"/>
              <c:size val="6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DF11-42F4-BA85-068B8B71C58B}"/>
              </c:ext>
            </c:extLst>
          </c:dPt>
          <c:dPt>
            <c:idx val="151"/>
            <c:marker>
              <c:symbol val="circle"/>
              <c:size val="6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DF11-42F4-BA85-068B8B71C58B}"/>
              </c:ext>
            </c:extLst>
          </c:dPt>
          <c:dPt>
            <c:idx val="152"/>
            <c:marker>
              <c:symbol val="circle"/>
              <c:size val="6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DF11-42F4-BA85-068B8B71C58B}"/>
              </c:ext>
            </c:extLst>
          </c:dPt>
          <c:dPt>
            <c:idx val="153"/>
            <c:marker>
              <c:symbol val="circle"/>
              <c:size val="6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DF11-42F4-BA85-068B8B71C58B}"/>
              </c:ext>
            </c:extLst>
          </c:dPt>
          <c:dPt>
            <c:idx val="154"/>
            <c:marker>
              <c:symbol val="circle"/>
              <c:size val="6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DF11-42F4-BA85-068B8B71C58B}"/>
              </c:ext>
            </c:extLst>
          </c:dPt>
          <c:dPt>
            <c:idx val="155"/>
            <c:marker>
              <c:symbol val="circle"/>
              <c:size val="6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DF11-42F4-BA85-068B8B71C58B}"/>
              </c:ext>
            </c:extLst>
          </c:dPt>
          <c:dPt>
            <c:idx val="156"/>
            <c:marker>
              <c:symbol val="circle"/>
              <c:size val="6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DF11-42F4-BA85-068B8B71C58B}"/>
              </c:ext>
            </c:extLst>
          </c:dPt>
          <c:dPt>
            <c:idx val="157"/>
            <c:marker>
              <c:symbol val="circle"/>
              <c:size val="6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DF11-42F4-BA85-068B8B71C58B}"/>
              </c:ext>
            </c:extLst>
          </c:dPt>
          <c:dPt>
            <c:idx val="158"/>
            <c:marker>
              <c:symbol val="circle"/>
              <c:size val="6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DF11-42F4-BA85-068B8B71C58B}"/>
              </c:ext>
            </c:extLst>
          </c:dPt>
          <c:dPt>
            <c:idx val="159"/>
            <c:marker>
              <c:symbol val="circle"/>
              <c:size val="6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DF11-42F4-BA85-068B8B71C58B}"/>
              </c:ext>
            </c:extLst>
          </c:dPt>
          <c:dPt>
            <c:idx val="160"/>
            <c:marker>
              <c:symbol val="circle"/>
              <c:size val="6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DF11-42F4-BA85-068B8B71C58B}"/>
              </c:ext>
            </c:extLst>
          </c:dPt>
          <c:dPt>
            <c:idx val="161"/>
            <c:marker>
              <c:symbol val="circle"/>
              <c:size val="6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DF11-42F4-BA85-068B8B71C58B}"/>
              </c:ext>
            </c:extLst>
          </c:dPt>
          <c:dPt>
            <c:idx val="162"/>
            <c:marker>
              <c:symbol val="circle"/>
              <c:size val="6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DF11-42F4-BA85-068B8B71C58B}"/>
              </c:ext>
            </c:extLst>
          </c:dPt>
          <c:dPt>
            <c:idx val="163"/>
            <c:marker>
              <c:symbol val="circle"/>
              <c:size val="6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DF11-42F4-BA85-068B8B71C58B}"/>
              </c:ext>
            </c:extLst>
          </c:dPt>
          <c:dPt>
            <c:idx val="164"/>
            <c:marker>
              <c:symbol val="circle"/>
              <c:size val="6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DF11-42F4-BA85-068B8B71C58B}"/>
              </c:ext>
            </c:extLst>
          </c:dPt>
          <c:dPt>
            <c:idx val="165"/>
            <c:marker>
              <c:symbol val="circle"/>
              <c:size val="6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DF11-42F4-BA85-068B8B71C58B}"/>
              </c:ext>
            </c:extLst>
          </c:dPt>
          <c:dPt>
            <c:idx val="166"/>
            <c:marker>
              <c:symbol val="circle"/>
              <c:size val="6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DF11-42F4-BA85-068B8B71C58B}"/>
              </c:ext>
            </c:extLst>
          </c:dPt>
          <c:dPt>
            <c:idx val="167"/>
            <c:marker>
              <c:symbol val="circle"/>
              <c:size val="6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DF11-42F4-BA85-068B8B71C58B}"/>
              </c:ext>
            </c:extLst>
          </c:dPt>
          <c:dPt>
            <c:idx val="168"/>
            <c:marker>
              <c:symbol val="circle"/>
              <c:size val="6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DF11-42F4-BA85-068B8B71C58B}"/>
              </c:ext>
            </c:extLst>
          </c:dPt>
          <c:dPt>
            <c:idx val="169"/>
            <c:marker>
              <c:symbol val="circle"/>
              <c:size val="6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DF11-42F4-BA85-068B8B71C58B}"/>
              </c:ext>
            </c:extLst>
          </c:dPt>
          <c:dPt>
            <c:idx val="170"/>
            <c:marker>
              <c:symbol val="circle"/>
              <c:size val="6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DF11-42F4-BA85-068B8B71C58B}"/>
              </c:ext>
            </c:extLst>
          </c:dPt>
          <c:dPt>
            <c:idx val="171"/>
            <c:marker>
              <c:symbol val="circle"/>
              <c:size val="6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DF11-42F4-BA85-068B8B71C58B}"/>
              </c:ext>
            </c:extLst>
          </c:dPt>
          <c:dPt>
            <c:idx val="172"/>
            <c:marker>
              <c:symbol val="circle"/>
              <c:size val="6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DF11-42F4-BA85-068B8B71C58B}"/>
              </c:ext>
            </c:extLst>
          </c:dPt>
          <c:dPt>
            <c:idx val="173"/>
            <c:marker>
              <c:symbol val="circle"/>
              <c:size val="6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DF11-42F4-BA85-068B8B71C58B}"/>
              </c:ext>
            </c:extLst>
          </c:dPt>
          <c:dPt>
            <c:idx val="174"/>
            <c:marker>
              <c:symbol val="circle"/>
              <c:size val="6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DF11-42F4-BA85-068B8B71C58B}"/>
              </c:ext>
            </c:extLst>
          </c:dPt>
          <c:dPt>
            <c:idx val="175"/>
            <c:marker>
              <c:symbol val="circle"/>
              <c:size val="6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DF11-42F4-BA85-068B8B71C58B}"/>
              </c:ext>
            </c:extLst>
          </c:dPt>
          <c:dPt>
            <c:idx val="176"/>
            <c:marker>
              <c:symbol val="circle"/>
              <c:size val="6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DF11-42F4-BA85-068B8B71C58B}"/>
              </c:ext>
            </c:extLst>
          </c:dPt>
          <c:dPt>
            <c:idx val="177"/>
            <c:marker>
              <c:symbol val="circle"/>
              <c:size val="6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DF11-42F4-BA85-068B8B71C58B}"/>
              </c:ext>
            </c:extLst>
          </c:dPt>
          <c:dPt>
            <c:idx val="178"/>
            <c:marker>
              <c:symbol val="circle"/>
              <c:size val="6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DF11-42F4-BA85-068B8B71C58B}"/>
              </c:ext>
            </c:extLst>
          </c:dPt>
          <c:xVal>
            <c:numRef>
              <c:f>Combined!$A$2:$A$180</c:f>
              <c:numCache>
                <c:formatCode>General</c:formatCode>
                <c:ptCount val="179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  <c:pt idx="60">
                  <c:v>-3.7838298576719716</c:v>
                </c:pt>
                <c:pt idx="61">
                  <c:v>-3.8131443894951689</c:v>
                </c:pt>
                <c:pt idx="62">
                  <c:v>-3.8607860285616491</c:v>
                </c:pt>
                <c:pt idx="63">
                  <c:v>-3.9188112700790674</c:v>
                </c:pt>
                <c:pt idx="64">
                  <c:v>-3.984840869706582</c:v>
                </c:pt>
                <c:pt idx="65">
                  <c:v>-4.0432970496456226</c:v>
                </c:pt>
                <c:pt idx="66">
                  <c:v>-4.065907289894918</c:v>
                </c:pt>
                <c:pt idx="67">
                  <c:v>-4.0233336052813238</c:v>
                </c:pt>
                <c:pt idx="68">
                  <c:v>-3.954967524428544</c:v>
                </c:pt>
                <c:pt idx="69">
                  <c:v>-3.950256108551446</c:v>
                </c:pt>
                <c:pt idx="70">
                  <c:v>-3.8233531323330587</c:v>
                </c:pt>
                <c:pt idx="71">
                  <c:v>-3.6497655924563128</c:v>
                </c:pt>
                <c:pt idx="72">
                  <c:v>-3.4461445173873235</c:v>
                </c:pt>
                <c:pt idx="73">
                  <c:v>-3.2849174790861473</c:v>
                </c:pt>
                <c:pt idx="74">
                  <c:v>-3.2656997826731424</c:v>
                </c:pt>
                <c:pt idx="75">
                  <c:v>-3.5179880430728394</c:v>
                </c:pt>
                <c:pt idx="76">
                  <c:v>-3.8771037630609366</c:v>
                </c:pt>
                <c:pt idx="77">
                  <c:v>-4.1962096457683877</c:v>
                </c:pt>
                <c:pt idx="78">
                  <c:v>-4.5051261072132762</c:v>
                </c:pt>
                <c:pt idx="79">
                  <c:v>-4.4906430711018501</c:v>
                </c:pt>
                <c:pt idx="80">
                  <c:v>-4.4970181253158028</c:v>
                </c:pt>
                <c:pt idx="81">
                  <c:v>-4.5589589277907203</c:v>
                </c:pt>
                <c:pt idx="82">
                  <c:v>-4.5434320722488533</c:v>
                </c:pt>
                <c:pt idx="83">
                  <c:v>-4.6062746151618601</c:v>
                </c:pt>
                <c:pt idx="84">
                  <c:v>-4.6998745641485895</c:v>
                </c:pt>
                <c:pt idx="85">
                  <c:v>-4.7222737547462943</c:v>
                </c:pt>
                <c:pt idx="86">
                  <c:v>-4.7303815648589707</c:v>
                </c:pt>
                <c:pt idx="87">
                  <c:v>-4.8020920119080248</c:v>
                </c:pt>
                <c:pt idx="88">
                  <c:v>-4.8102518205416853</c:v>
                </c:pt>
                <c:pt idx="89">
                  <c:v>-4.8267938702636313</c:v>
                </c:pt>
                <c:pt idx="90">
                  <c:v>-4.8497132283936359</c:v>
                </c:pt>
                <c:pt idx="91">
                  <c:v>-5.0467239302723588</c:v>
                </c:pt>
                <c:pt idx="92">
                  <c:v>-5.1203544869356357</c:v>
                </c:pt>
                <c:pt idx="93">
                  <c:v>-5.1459233859640356</c:v>
                </c:pt>
                <c:pt idx="94">
                  <c:v>-5.2146642956777924</c:v>
                </c:pt>
                <c:pt idx="95">
                  <c:v>-5.2130888285899122</c:v>
                </c:pt>
                <c:pt idx="96">
                  <c:v>-5.2741648427603014</c:v>
                </c:pt>
                <c:pt idx="97">
                  <c:v>-5.3181135022530484</c:v>
                </c:pt>
                <c:pt idx="98">
                  <c:v>-5.3457050919740539</c:v>
                </c:pt>
                <c:pt idx="99">
                  <c:v>-5.4198006421718947</c:v>
                </c:pt>
                <c:pt idx="100">
                  <c:v>-5.4735906878860536</c:v>
                </c:pt>
                <c:pt idx="101">
                  <c:v>-5.5325448429423867</c:v>
                </c:pt>
                <c:pt idx="102">
                  <c:v>-5.5927440194246358</c:v>
                </c:pt>
                <c:pt idx="103">
                  <c:v>-5.6641568434297769</c:v>
                </c:pt>
                <c:pt idx="104">
                  <c:v>-5.7421790179141903</c:v>
                </c:pt>
                <c:pt idx="105">
                  <c:v>-5.7757422567665415</c:v>
                </c:pt>
                <c:pt idx="106">
                  <c:v>-5.8411205688658656</c:v>
                </c:pt>
                <c:pt idx="107">
                  <c:v>-5.9738103098756348</c:v>
                </c:pt>
                <c:pt idx="108">
                  <c:v>-6.010756249765997</c:v>
                </c:pt>
                <c:pt idx="109">
                  <c:v>-5.9947201110747663</c:v>
                </c:pt>
                <c:pt idx="110">
                  <c:v>-5.9770611031010308</c:v>
                </c:pt>
                <c:pt idx="111">
                  <c:v>-5.9594169450661285</c:v>
                </c:pt>
                <c:pt idx="112">
                  <c:v>-5.9477151568154767</c:v>
                </c:pt>
                <c:pt idx="113">
                  <c:v>-5.9412621628107196</c:v>
                </c:pt>
                <c:pt idx="114">
                  <c:v>-5.9367473060387104</c:v>
                </c:pt>
                <c:pt idx="115">
                  <c:v>-5.9327924267352463</c:v>
                </c:pt>
                <c:pt idx="116">
                  <c:v>-5.9311845947123718</c:v>
                </c:pt>
                <c:pt idx="117">
                  <c:v>-5.9316513288312134</c:v>
                </c:pt>
                <c:pt idx="118">
                  <c:v>-5.9642966332241594</c:v>
                </c:pt>
                <c:pt idx="119">
                  <c:v>-6.173663857190185</c:v>
                </c:pt>
                <c:pt idx="120">
                  <c:v>-6.3462792995071062</c:v>
                </c:pt>
                <c:pt idx="121">
                  <c:v>-6.5060855474357799</c:v>
                </c:pt>
                <c:pt idx="122">
                  <c:v>-6.642353847965409</c:v>
                </c:pt>
                <c:pt idx="123">
                  <c:v>-6.8081637703669227</c:v>
                </c:pt>
                <c:pt idx="124">
                  <c:v>-6.95688219084371</c:v>
                </c:pt>
                <c:pt idx="125">
                  <c:v>-7.0291302128025519</c:v>
                </c:pt>
                <c:pt idx="126">
                  <c:v>-7.1075655614317164</c:v>
                </c:pt>
                <c:pt idx="127">
                  <c:v>-7.196449625628798</c:v>
                </c:pt>
                <c:pt idx="128">
                  <c:v>-7.3793842013848252</c:v>
                </c:pt>
                <c:pt idx="129">
                  <c:v>-7.524612153419989</c:v>
                </c:pt>
                <c:pt idx="130">
                  <c:v>-7.4950970739921878</c:v>
                </c:pt>
                <c:pt idx="131">
                  <c:v>-7.5009471189238788</c:v>
                </c:pt>
                <c:pt idx="132">
                  <c:v>-7.4255048394966501</c:v>
                </c:pt>
                <c:pt idx="133">
                  <c:v>-7.3595931872289286</c:v>
                </c:pt>
                <c:pt idx="134">
                  <c:v>-7.544358000322843</c:v>
                </c:pt>
                <c:pt idx="135">
                  <c:v>-7.8311787282194478</c:v>
                </c:pt>
                <c:pt idx="136">
                  <c:v>-7.9649374559350798</c:v>
                </c:pt>
                <c:pt idx="137">
                  <c:v>-7.9043198586135475</c:v>
                </c:pt>
                <c:pt idx="138">
                  <c:v>-7.8295478674430221</c:v>
                </c:pt>
                <c:pt idx="139">
                  <c:v>-7.3188983630736786</c:v>
                </c:pt>
                <c:pt idx="140">
                  <c:v>-7.0055201736597521</c:v>
                </c:pt>
                <c:pt idx="141">
                  <c:v>-6.6323817839237389</c:v>
                </c:pt>
                <c:pt idx="142">
                  <c:v>-6.2117835280822948</c:v>
                </c:pt>
                <c:pt idx="143">
                  <c:v>-6.7834318816123069</c:v>
                </c:pt>
                <c:pt idx="144">
                  <c:v>-7.0965479736732435</c:v>
                </c:pt>
                <c:pt idx="145">
                  <c:v>-7.0097378403216188</c:v>
                </c:pt>
                <c:pt idx="146">
                  <c:v>-6.5680696682567588</c:v>
                </c:pt>
                <c:pt idx="147">
                  <c:v>-6.1459035296846469</c:v>
                </c:pt>
                <c:pt idx="148">
                  <c:v>-5.699509349937717</c:v>
                </c:pt>
                <c:pt idx="149">
                  <c:v>-5.2451429916010559</c:v>
                </c:pt>
                <c:pt idx="150">
                  <c:v>-4.7261141622650147</c:v>
                </c:pt>
                <c:pt idx="151">
                  <c:v>-4.7306106178800551</c:v>
                </c:pt>
                <c:pt idx="152">
                  <c:v>-4.7270318877814956</c:v>
                </c:pt>
                <c:pt idx="153">
                  <c:v>-4.7296928923635768</c:v>
                </c:pt>
                <c:pt idx="154">
                  <c:v>-4.727949613297973</c:v>
                </c:pt>
                <c:pt idx="155">
                  <c:v>-4.7287751668470985</c:v>
                </c:pt>
                <c:pt idx="156">
                  <c:v>-4.7288673388144531</c:v>
                </c:pt>
                <c:pt idx="157">
                  <c:v>-4.7278574413306185</c:v>
                </c:pt>
                <c:pt idx="158">
                  <c:v>-4.7297850643309314</c:v>
                </c:pt>
                <c:pt idx="159">
                  <c:v>-4.7269397158141429</c:v>
                </c:pt>
                <c:pt idx="160">
                  <c:v>-4.7307027898474105</c:v>
                </c:pt>
                <c:pt idx="161">
                  <c:v>-4.7260219902976166</c:v>
                </c:pt>
                <c:pt idx="162">
                  <c:v>-4.7309611191574819</c:v>
                </c:pt>
                <c:pt idx="163">
                  <c:v>-4.7266813865041311</c:v>
                </c:pt>
                <c:pt idx="164">
                  <c:v>-4.7300433936408783</c:v>
                </c:pt>
                <c:pt idx="165">
                  <c:v>-4.727599112020739</c:v>
                </c:pt>
                <c:pt idx="166">
                  <c:v>-4.7291256681242713</c:v>
                </c:pt>
                <c:pt idx="167">
                  <c:v>-4.7285168375373425</c:v>
                </c:pt>
                <c:pt idx="168">
                  <c:v>-4.7282079426076606</c:v>
                </c:pt>
                <c:pt idx="169">
                  <c:v>-4.729434563053954</c:v>
                </c:pt>
                <c:pt idx="170">
                  <c:v>-4.8262488355298254</c:v>
                </c:pt>
                <c:pt idx="171">
                  <c:v>-5.0669446160444629</c:v>
                </c:pt>
                <c:pt idx="172">
                  <c:v>-4.7974044527719046</c:v>
                </c:pt>
                <c:pt idx="173">
                  <c:v>-4.2853790297980385</c:v>
                </c:pt>
                <c:pt idx="174">
                  <c:v>-3.6961647654295051</c:v>
                </c:pt>
                <c:pt idx="175">
                  <c:v>-3.0706497404665223</c:v>
                </c:pt>
                <c:pt idx="176">
                  <c:v>-2.8077231344722966</c:v>
                </c:pt>
                <c:pt idx="177">
                  <c:v>-2.074784656018227</c:v>
                </c:pt>
                <c:pt idx="178">
                  <c:v>-1.764511022728896</c:v>
                </c:pt>
              </c:numCache>
            </c:numRef>
          </c:xVal>
          <c:yVal>
            <c:numRef>
              <c:f>Combined!$B$2:$B$180</c:f>
              <c:numCache>
                <c:formatCode>General</c:formatCode>
                <c:ptCount val="179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  <c:pt idx="60">
                  <c:v>43.21416591788936</c:v>
                </c:pt>
                <c:pt idx="61">
                  <c:v>43.198985505390119</c:v>
                </c:pt>
                <c:pt idx="62">
                  <c:v>43.097711390262262</c:v>
                </c:pt>
                <c:pt idx="63">
                  <c:v>42.955275772599236</c:v>
                </c:pt>
                <c:pt idx="64">
                  <c:v>42.795313877304835</c:v>
                </c:pt>
                <c:pt idx="65">
                  <c:v>42.599627687508239</c:v>
                </c:pt>
                <c:pt idx="66">
                  <c:v>42.490064078706716</c:v>
                </c:pt>
                <c:pt idx="67">
                  <c:v>42.351318713554846</c:v>
                </c:pt>
                <c:pt idx="68">
                  <c:v>42.359303303383356</c:v>
                </c:pt>
                <c:pt idx="69">
                  <c:v>42.159419338700758</c:v>
                </c:pt>
                <c:pt idx="70">
                  <c:v>42.052442532599756</c:v>
                </c:pt>
                <c:pt idx="71">
                  <c:v>42.212045737856201</c:v>
                </c:pt>
                <c:pt idx="72">
                  <c:v>42.293204275714814</c:v>
                </c:pt>
                <c:pt idx="73">
                  <c:v>42.285145028437555</c:v>
                </c:pt>
                <c:pt idx="74">
                  <c:v>42.1407546058226</c:v>
                </c:pt>
                <c:pt idx="75">
                  <c:v>41.70626945239129</c:v>
                </c:pt>
                <c:pt idx="76">
                  <c:v>41.043776593286267</c:v>
                </c:pt>
                <c:pt idx="77">
                  <c:v>40.342267757670982</c:v>
                </c:pt>
                <c:pt idx="78">
                  <c:v>39.757778609798351</c:v>
                </c:pt>
                <c:pt idx="79">
                  <c:v>39.668317640133097</c:v>
                </c:pt>
                <c:pt idx="80">
                  <c:v>39.521213926902647</c:v>
                </c:pt>
                <c:pt idx="81">
                  <c:v>39.03222617013197</c:v>
                </c:pt>
                <c:pt idx="82">
                  <c:v>38.760323767430812</c:v>
                </c:pt>
                <c:pt idx="83">
                  <c:v>38.430260735491615</c:v>
                </c:pt>
                <c:pt idx="84">
                  <c:v>38.04964056454962</c:v>
                </c:pt>
                <c:pt idx="85">
                  <c:v>37.784235262202948</c:v>
                </c:pt>
                <c:pt idx="86">
                  <c:v>37.544400360695185</c:v>
                </c:pt>
                <c:pt idx="87">
                  <c:v>37.147636973177129</c:v>
                </c:pt>
                <c:pt idx="88">
                  <c:v>36.92267882333708</c:v>
                </c:pt>
                <c:pt idx="89">
                  <c:v>36.677575928260687</c:v>
                </c:pt>
                <c:pt idx="90">
                  <c:v>36.432488767721381</c:v>
                </c:pt>
                <c:pt idx="91">
                  <c:v>35.913832334687228</c:v>
                </c:pt>
                <c:pt idx="92">
                  <c:v>35.559527106398022</c:v>
                </c:pt>
                <c:pt idx="93">
                  <c:v>35.257060010221601</c:v>
                </c:pt>
                <c:pt idx="94">
                  <c:v>34.898960745077325</c:v>
                </c:pt>
                <c:pt idx="95">
                  <c:v>34.583929492685058</c:v>
                </c:pt>
                <c:pt idx="96">
                  <c:v>34.164964447730867</c:v>
                </c:pt>
                <c:pt idx="97">
                  <c:v>33.768774465150535</c:v>
                </c:pt>
                <c:pt idx="98">
                  <c:v>33.391627717479423</c:v>
                </c:pt>
                <c:pt idx="99">
                  <c:v>32.948648042509916</c:v>
                </c:pt>
                <c:pt idx="100">
                  <c:v>32.53007383407936</c:v>
                </c:pt>
                <c:pt idx="101">
                  <c:v>32.108638187819707</c:v>
                </c:pt>
                <c:pt idx="102">
                  <c:v>31.687409517155182</c:v>
                </c:pt>
                <c:pt idx="103">
                  <c:v>31.248073261934667</c:v>
                </c:pt>
                <c:pt idx="104">
                  <c:v>30.798751720067351</c:v>
                </c:pt>
                <c:pt idx="105">
                  <c:v>30.449247801523725</c:v>
                </c:pt>
                <c:pt idx="106">
                  <c:v>30.034365175201721</c:v>
                </c:pt>
                <c:pt idx="107">
                  <c:v>29.468045277998428</c:v>
                </c:pt>
                <c:pt idx="108">
                  <c:v>28.92437516254865</c:v>
                </c:pt>
                <c:pt idx="109">
                  <c:v>28.398837549045286</c:v>
                </c:pt>
                <c:pt idx="110">
                  <c:v>27.860280082950108</c:v>
                </c:pt>
                <c:pt idx="111">
                  <c:v>27.32241791663391</c:v>
                </c:pt>
                <c:pt idx="112">
                  <c:v>26.759305892023363</c:v>
                </c:pt>
                <c:pt idx="113">
                  <c:v>26.165443734369994</c:v>
                </c:pt>
                <c:pt idx="114">
                  <c:v>25.554439815052323</c:v>
                </c:pt>
                <c:pt idx="115">
                  <c:v>24.944859256707716</c:v>
                </c:pt>
                <c:pt idx="116">
                  <c:v>24.299503648503194</c:v>
                </c:pt>
                <c:pt idx="117">
                  <c:v>23.617096148576113</c:v>
                </c:pt>
                <c:pt idx="118">
                  <c:v>22.883342690198191</c:v>
                </c:pt>
                <c:pt idx="119">
                  <c:v>22.150250927148164</c:v>
                </c:pt>
                <c:pt idx="120">
                  <c:v>21.273587671303904</c:v>
                </c:pt>
                <c:pt idx="121">
                  <c:v>20.902586323236779</c:v>
                </c:pt>
                <c:pt idx="122">
                  <c:v>20.659085445859226</c:v>
                </c:pt>
                <c:pt idx="123">
                  <c:v>20.355868094070843</c:v>
                </c:pt>
                <c:pt idx="124">
                  <c:v>20.22055996101443</c:v>
                </c:pt>
                <c:pt idx="125">
                  <c:v>20.096145818709779</c:v>
                </c:pt>
                <c:pt idx="126">
                  <c:v>19.92766984465176</c:v>
                </c:pt>
                <c:pt idx="127">
                  <c:v>19.626652699457949</c:v>
                </c:pt>
                <c:pt idx="128">
                  <c:v>18.594929331401559</c:v>
                </c:pt>
                <c:pt idx="129">
                  <c:v>17.647351766388358</c:v>
                </c:pt>
                <c:pt idx="130">
                  <c:v>17.552701081557981</c:v>
                </c:pt>
                <c:pt idx="131">
                  <c:v>17.678760782069869</c:v>
                </c:pt>
                <c:pt idx="132">
                  <c:v>17.627529768878631</c:v>
                </c:pt>
                <c:pt idx="133">
                  <c:v>17.426402469433199</c:v>
                </c:pt>
                <c:pt idx="134">
                  <c:v>16.863081483709585</c:v>
                </c:pt>
                <c:pt idx="135">
                  <c:v>15.620007884664322</c:v>
                </c:pt>
                <c:pt idx="136">
                  <c:v>14.181303432232092</c:v>
                </c:pt>
                <c:pt idx="137">
                  <c:v>13.137684179346092</c:v>
                </c:pt>
                <c:pt idx="138">
                  <c:v>12.709353371379056</c:v>
                </c:pt>
                <c:pt idx="139">
                  <c:v>12.350339081273514</c:v>
                </c:pt>
                <c:pt idx="140">
                  <c:v>12.463669765550497</c:v>
                </c:pt>
                <c:pt idx="141">
                  <c:v>12.83186272530625</c:v>
                </c:pt>
                <c:pt idx="142">
                  <c:v>13.029528982088747</c:v>
                </c:pt>
                <c:pt idx="143">
                  <c:v>11.793428667425328</c:v>
                </c:pt>
                <c:pt idx="144">
                  <c:v>10.347811388521189</c:v>
                </c:pt>
                <c:pt idx="145">
                  <c:v>9.213142126160621</c:v>
                </c:pt>
                <c:pt idx="146">
                  <c:v>9.0393457442379876</c:v>
                </c:pt>
                <c:pt idx="147">
                  <c:v>9.1279746838676896</c:v>
                </c:pt>
                <c:pt idx="148">
                  <c:v>9.6604995013668429</c:v>
                </c:pt>
                <c:pt idx="149">
                  <c:v>9.6821572951725923</c:v>
                </c:pt>
                <c:pt idx="150">
                  <c:v>10.45326558640763</c:v>
                </c:pt>
                <c:pt idx="151">
                  <c:v>10.442531302494281</c:v>
                </c:pt>
                <c:pt idx="152">
                  <c:v>10.451074721626163</c:v>
                </c:pt>
                <c:pt idx="153">
                  <c:v>10.444722167275742</c:v>
                </c:pt>
                <c:pt idx="154">
                  <c:v>10.4488838568447</c:v>
                </c:pt>
                <c:pt idx="155">
                  <c:v>10.446913032057207</c:v>
                </c:pt>
                <c:pt idx="156">
                  <c:v>10.446692992063234</c:v>
                </c:pt>
                <c:pt idx="157">
                  <c:v>10.449103896838672</c:v>
                </c:pt>
                <c:pt idx="158">
                  <c:v>10.444502127281769</c:v>
                </c:pt>
                <c:pt idx="159">
                  <c:v>10.451294761620133</c:v>
                </c:pt>
                <c:pt idx="160">
                  <c:v>10.442311262500304</c:v>
                </c:pt>
                <c:pt idx="161">
                  <c:v>10.453485626401708</c:v>
                </c:pt>
                <c:pt idx="162">
                  <c:v>10.44169455894647</c:v>
                </c:pt>
                <c:pt idx="163">
                  <c:v>10.45191146517382</c:v>
                </c:pt>
                <c:pt idx="164">
                  <c:v>10.443885423728233</c:v>
                </c:pt>
                <c:pt idx="165">
                  <c:v>10.44972060039205</c:v>
                </c:pt>
                <c:pt idx="166">
                  <c:v>10.446076288510003</c:v>
                </c:pt>
                <c:pt idx="167">
                  <c:v>10.447529735610285</c:v>
                </c:pt>
                <c:pt idx="168">
                  <c:v>10.448267153291786</c:v>
                </c:pt>
                <c:pt idx="169">
                  <c:v>10.445338870828504</c:v>
                </c:pt>
                <c:pt idx="170">
                  <c:v>10.125212436046409</c:v>
                </c:pt>
                <c:pt idx="171">
                  <c:v>8.6256147387355746</c:v>
                </c:pt>
                <c:pt idx="172">
                  <c:v>7.2777108964228692</c:v>
                </c:pt>
                <c:pt idx="173">
                  <c:v>7.3488297049937579</c:v>
                </c:pt>
                <c:pt idx="174">
                  <c:v>7.8818249327266869</c:v>
                </c:pt>
                <c:pt idx="175">
                  <c:v>8.7109820810565619</c:v>
                </c:pt>
                <c:pt idx="176">
                  <c:v>8.1010218452350955</c:v>
                </c:pt>
                <c:pt idx="177">
                  <c:v>9.1105853102206904</c:v>
                </c:pt>
                <c:pt idx="17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7A9-4FBE-AC9B-F41407005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Combined!$C$1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AD1-4E96-A8DD-66615EDD7872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AD1-4E96-A8DD-66615EDD7872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AD1-4E96-A8DD-66615EDD7872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AD1-4E96-A8DD-66615EDD7872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AD1-4E96-A8DD-66615EDD7872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AD1-4E96-A8DD-66615EDD7872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AD1-4E96-A8DD-66615EDD7872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AD1-4E96-A8DD-66615EDD7872}"/>
              </c:ext>
            </c:extLst>
          </c:dPt>
          <c:dPt>
            <c:idx val="8"/>
            <c:marker>
              <c:symbol val="circle"/>
              <c:size val="6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AD1-4E96-A8DD-66615EDD7872}"/>
              </c:ext>
            </c:extLst>
          </c:dPt>
          <c:dPt>
            <c:idx val="9"/>
            <c:marker>
              <c:symbol val="circle"/>
              <c:size val="6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AD1-4E96-A8DD-66615EDD7872}"/>
              </c:ext>
            </c:extLst>
          </c:dPt>
          <c:dPt>
            <c:idx val="10"/>
            <c:marker>
              <c:symbol val="circle"/>
              <c:size val="6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AD1-4E96-A8DD-66615EDD7872}"/>
              </c:ext>
            </c:extLst>
          </c:dPt>
          <c:dPt>
            <c:idx val="11"/>
            <c:marker>
              <c:symbol val="circle"/>
              <c:size val="6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AD1-4E96-A8DD-66615EDD7872}"/>
              </c:ext>
            </c:extLst>
          </c:dPt>
          <c:dPt>
            <c:idx val="12"/>
            <c:marker>
              <c:symbol val="circle"/>
              <c:size val="6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AD1-4E96-A8DD-66615EDD7872}"/>
              </c:ext>
            </c:extLst>
          </c:dPt>
          <c:dPt>
            <c:idx val="13"/>
            <c:marker>
              <c:symbol val="circle"/>
              <c:size val="6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AD1-4E96-A8DD-66615EDD7872}"/>
              </c:ext>
            </c:extLst>
          </c:dPt>
          <c:dPt>
            <c:idx val="14"/>
            <c:marker>
              <c:symbol val="circle"/>
              <c:size val="6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AD1-4E96-A8DD-66615EDD7872}"/>
              </c:ext>
            </c:extLst>
          </c:dPt>
          <c:dPt>
            <c:idx val="15"/>
            <c:marker>
              <c:symbol val="circle"/>
              <c:size val="6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AD1-4E96-A8DD-66615EDD7872}"/>
              </c:ext>
            </c:extLst>
          </c:dPt>
          <c:dPt>
            <c:idx val="16"/>
            <c:marker>
              <c:symbol val="circle"/>
              <c:size val="6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AD1-4E96-A8DD-66615EDD7872}"/>
              </c:ext>
            </c:extLst>
          </c:dPt>
          <c:dPt>
            <c:idx val="17"/>
            <c:marker>
              <c:symbol val="circle"/>
              <c:size val="6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AD1-4E96-A8DD-66615EDD7872}"/>
              </c:ext>
            </c:extLst>
          </c:dPt>
          <c:dPt>
            <c:idx val="18"/>
            <c:marker>
              <c:symbol val="circle"/>
              <c:size val="6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AD1-4E96-A8DD-66615EDD7872}"/>
              </c:ext>
            </c:extLst>
          </c:dPt>
          <c:dPt>
            <c:idx val="19"/>
            <c:marker>
              <c:symbol val="circle"/>
              <c:size val="6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AD1-4E96-A8DD-66615EDD7872}"/>
              </c:ext>
            </c:extLst>
          </c:dPt>
          <c:dPt>
            <c:idx val="20"/>
            <c:marker>
              <c:symbol val="circle"/>
              <c:size val="6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AD1-4E96-A8DD-66615EDD7872}"/>
              </c:ext>
            </c:extLst>
          </c:dPt>
          <c:dPt>
            <c:idx val="21"/>
            <c:marker>
              <c:symbol val="circle"/>
              <c:size val="6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AD1-4E96-A8DD-66615EDD7872}"/>
              </c:ext>
            </c:extLst>
          </c:dPt>
          <c:dPt>
            <c:idx val="22"/>
            <c:marker>
              <c:symbol val="circle"/>
              <c:size val="6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AD1-4E96-A8DD-66615EDD7872}"/>
              </c:ext>
            </c:extLst>
          </c:dPt>
          <c:dPt>
            <c:idx val="23"/>
            <c:marker>
              <c:symbol val="circle"/>
              <c:size val="6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AD1-4E96-A8DD-66615EDD7872}"/>
              </c:ext>
            </c:extLst>
          </c:dPt>
          <c:dPt>
            <c:idx val="24"/>
            <c:marker>
              <c:symbol val="circle"/>
              <c:size val="6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AD1-4E96-A8DD-66615EDD7872}"/>
              </c:ext>
            </c:extLst>
          </c:dPt>
          <c:dPt>
            <c:idx val="25"/>
            <c:marker>
              <c:symbol val="circle"/>
              <c:size val="6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AD1-4E96-A8DD-66615EDD7872}"/>
              </c:ext>
            </c:extLst>
          </c:dPt>
          <c:dPt>
            <c:idx val="26"/>
            <c:marker>
              <c:symbol val="circle"/>
              <c:size val="6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AD1-4E96-A8DD-66615EDD7872}"/>
              </c:ext>
            </c:extLst>
          </c:dPt>
          <c:dPt>
            <c:idx val="27"/>
            <c:marker>
              <c:symbol val="circle"/>
              <c:size val="6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AD1-4E96-A8DD-66615EDD7872}"/>
              </c:ext>
            </c:extLst>
          </c:dPt>
          <c:dPt>
            <c:idx val="28"/>
            <c:marker>
              <c:symbol val="circle"/>
              <c:size val="6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AD1-4E96-A8DD-66615EDD7872}"/>
              </c:ext>
            </c:extLst>
          </c:dPt>
          <c:dPt>
            <c:idx val="29"/>
            <c:marker>
              <c:symbol val="circle"/>
              <c:size val="6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AD1-4E96-A8DD-66615EDD7872}"/>
              </c:ext>
            </c:extLst>
          </c:dPt>
          <c:dPt>
            <c:idx val="30"/>
            <c:marker>
              <c:symbol val="circle"/>
              <c:size val="6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AD1-4E96-A8DD-66615EDD7872}"/>
              </c:ext>
            </c:extLst>
          </c:dPt>
          <c:dPt>
            <c:idx val="31"/>
            <c:marker>
              <c:symbol val="circle"/>
              <c:size val="6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AD1-4E96-A8DD-66615EDD7872}"/>
              </c:ext>
            </c:extLst>
          </c:dPt>
          <c:dPt>
            <c:idx val="32"/>
            <c:marker>
              <c:symbol val="circle"/>
              <c:size val="6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AD1-4E96-A8DD-66615EDD7872}"/>
              </c:ext>
            </c:extLst>
          </c:dPt>
          <c:dPt>
            <c:idx val="33"/>
            <c:marker>
              <c:symbol val="circle"/>
              <c:size val="6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AD1-4E96-A8DD-66615EDD7872}"/>
              </c:ext>
            </c:extLst>
          </c:dPt>
          <c:dPt>
            <c:idx val="34"/>
            <c:marker>
              <c:symbol val="circle"/>
              <c:size val="6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AD1-4E96-A8DD-66615EDD7872}"/>
              </c:ext>
            </c:extLst>
          </c:dPt>
          <c:dPt>
            <c:idx val="35"/>
            <c:marker>
              <c:symbol val="circle"/>
              <c:size val="6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AD1-4E96-A8DD-66615EDD7872}"/>
              </c:ext>
            </c:extLst>
          </c:dPt>
          <c:dPt>
            <c:idx val="36"/>
            <c:marker>
              <c:symbol val="circle"/>
              <c:size val="6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AD1-4E96-A8DD-66615EDD7872}"/>
              </c:ext>
            </c:extLst>
          </c:dPt>
          <c:dPt>
            <c:idx val="37"/>
            <c:marker>
              <c:symbol val="circle"/>
              <c:size val="6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AD1-4E96-A8DD-66615EDD7872}"/>
              </c:ext>
            </c:extLst>
          </c:dPt>
          <c:dPt>
            <c:idx val="38"/>
            <c:marker>
              <c:symbol val="circle"/>
              <c:size val="6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AD1-4E96-A8DD-66615EDD7872}"/>
              </c:ext>
            </c:extLst>
          </c:dPt>
          <c:dPt>
            <c:idx val="39"/>
            <c:marker>
              <c:symbol val="circle"/>
              <c:size val="6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80BD-4B15-A046-52C9D80F19B4}"/>
              </c:ext>
            </c:extLst>
          </c:dPt>
          <c:dPt>
            <c:idx val="40"/>
            <c:marker>
              <c:symbol val="circle"/>
              <c:size val="6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80BD-4B15-A046-52C9D80F19B4}"/>
              </c:ext>
            </c:extLst>
          </c:dPt>
          <c:dPt>
            <c:idx val="41"/>
            <c:marker>
              <c:symbol val="circle"/>
              <c:size val="6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80BD-4B15-A046-52C9D80F19B4}"/>
              </c:ext>
            </c:extLst>
          </c:dPt>
          <c:dPt>
            <c:idx val="42"/>
            <c:marker>
              <c:symbol val="circle"/>
              <c:size val="6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80BD-4B15-A046-52C9D80F19B4}"/>
              </c:ext>
            </c:extLst>
          </c:dPt>
          <c:dPt>
            <c:idx val="43"/>
            <c:marker>
              <c:symbol val="circle"/>
              <c:size val="6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80BD-4B15-A046-52C9D80F19B4}"/>
              </c:ext>
            </c:extLst>
          </c:dPt>
          <c:dPt>
            <c:idx val="44"/>
            <c:marker>
              <c:symbol val="circle"/>
              <c:size val="6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80BD-4B15-A046-52C9D80F19B4}"/>
              </c:ext>
            </c:extLst>
          </c:dPt>
          <c:dPt>
            <c:idx val="45"/>
            <c:marker>
              <c:symbol val="circle"/>
              <c:size val="6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80BD-4B15-A046-52C9D80F19B4}"/>
              </c:ext>
            </c:extLst>
          </c:dPt>
          <c:dPt>
            <c:idx val="46"/>
            <c:marker>
              <c:symbol val="circle"/>
              <c:size val="6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80BD-4B15-A046-52C9D80F19B4}"/>
              </c:ext>
            </c:extLst>
          </c:dPt>
          <c:dPt>
            <c:idx val="47"/>
            <c:marker>
              <c:symbol val="circle"/>
              <c:size val="6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80BD-4B15-A046-52C9D80F19B4}"/>
              </c:ext>
            </c:extLst>
          </c:dPt>
          <c:dPt>
            <c:idx val="48"/>
            <c:marker>
              <c:symbol val="circle"/>
              <c:size val="6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80BD-4B15-A046-52C9D80F19B4}"/>
              </c:ext>
            </c:extLst>
          </c:dPt>
          <c:dPt>
            <c:idx val="49"/>
            <c:marker>
              <c:symbol val="circle"/>
              <c:size val="6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80BD-4B15-A046-52C9D80F19B4}"/>
              </c:ext>
            </c:extLst>
          </c:dPt>
          <c:dPt>
            <c:idx val="50"/>
            <c:marker>
              <c:symbol val="circle"/>
              <c:size val="6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80BD-4B15-A046-52C9D80F19B4}"/>
              </c:ext>
            </c:extLst>
          </c:dPt>
          <c:dPt>
            <c:idx val="51"/>
            <c:marker>
              <c:symbol val="circle"/>
              <c:size val="6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80BD-4B15-A046-52C9D80F19B4}"/>
              </c:ext>
            </c:extLst>
          </c:dPt>
          <c:dPt>
            <c:idx val="52"/>
            <c:marker>
              <c:symbol val="circle"/>
              <c:size val="6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80BD-4B15-A046-52C9D80F19B4}"/>
              </c:ext>
            </c:extLst>
          </c:dPt>
          <c:dPt>
            <c:idx val="53"/>
            <c:marker>
              <c:symbol val="circle"/>
              <c:size val="6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80BD-4B15-A046-52C9D80F19B4}"/>
              </c:ext>
            </c:extLst>
          </c:dPt>
          <c:dPt>
            <c:idx val="54"/>
            <c:marker>
              <c:symbol val="circle"/>
              <c:size val="6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80BD-4B15-A046-52C9D80F19B4}"/>
              </c:ext>
            </c:extLst>
          </c:dPt>
          <c:dPt>
            <c:idx val="55"/>
            <c:marker>
              <c:symbol val="circle"/>
              <c:size val="6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80BD-4B15-A046-52C9D80F19B4}"/>
              </c:ext>
            </c:extLst>
          </c:dPt>
          <c:dPt>
            <c:idx val="56"/>
            <c:marker>
              <c:symbol val="circle"/>
              <c:size val="6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80BD-4B15-A046-52C9D80F19B4}"/>
              </c:ext>
            </c:extLst>
          </c:dPt>
          <c:dPt>
            <c:idx val="57"/>
            <c:marker>
              <c:symbol val="circle"/>
              <c:size val="6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80BD-4B15-A046-52C9D80F19B4}"/>
              </c:ext>
            </c:extLst>
          </c:dPt>
          <c:dPt>
            <c:idx val="58"/>
            <c:marker>
              <c:symbol val="circle"/>
              <c:size val="6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80BD-4B15-A046-52C9D80F19B4}"/>
              </c:ext>
            </c:extLst>
          </c:dPt>
          <c:dPt>
            <c:idx val="59"/>
            <c:marker>
              <c:symbol val="circle"/>
              <c:size val="6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80BD-4B15-A046-52C9D80F19B4}"/>
              </c:ext>
            </c:extLst>
          </c:dPt>
          <c:dPt>
            <c:idx val="60"/>
            <c:marker>
              <c:symbol val="triangle"/>
              <c:size val="10"/>
              <c:spPr>
                <a:solidFill>
                  <a:srgbClr val="96FF01"/>
                </a:solidFill>
                <a:ln w="9525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80BD-4B15-A046-52C9D80F19B4}"/>
              </c:ext>
            </c:extLst>
          </c:dPt>
          <c:dPt>
            <c:idx val="61"/>
            <c:marker>
              <c:symbol val="circle"/>
              <c:size val="6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80BD-4B15-A046-52C9D80F19B4}"/>
              </c:ext>
            </c:extLst>
          </c:dPt>
          <c:dPt>
            <c:idx val="62"/>
            <c:marker>
              <c:symbol val="circle"/>
              <c:size val="6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80BD-4B15-A046-52C9D80F19B4}"/>
              </c:ext>
            </c:extLst>
          </c:dPt>
          <c:dPt>
            <c:idx val="63"/>
            <c:marker>
              <c:symbol val="circle"/>
              <c:size val="6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80BD-4B15-A046-52C9D80F19B4}"/>
              </c:ext>
            </c:extLst>
          </c:dPt>
          <c:dPt>
            <c:idx val="64"/>
            <c:marker>
              <c:symbol val="circle"/>
              <c:size val="6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80BD-4B15-A046-52C9D80F19B4}"/>
              </c:ext>
            </c:extLst>
          </c:dPt>
          <c:dPt>
            <c:idx val="65"/>
            <c:marker>
              <c:symbol val="circle"/>
              <c:size val="6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80BD-4B15-A046-52C9D80F19B4}"/>
              </c:ext>
            </c:extLst>
          </c:dPt>
          <c:dPt>
            <c:idx val="66"/>
            <c:marker>
              <c:symbol val="circle"/>
              <c:size val="6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80BD-4B15-A046-52C9D80F19B4}"/>
              </c:ext>
            </c:extLst>
          </c:dPt>
          <c:dPt>
            <c:idx val="67"/>
            <c:marker>
              <c:symbol val="circle"/>
              <c:size val="6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80BD-4B15-A046-52C9D80F19B4}"/>
              </c:ext>
            </c:extLst>
          </c:dPt>
          <c:dPt>
            <c:idx val="68"/>
            <c:marker>
              <c:symbol val="circle"/>
              <c:size val="6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80BD-4B15-A046-52C9D80F19B4}"/>
              </c:ext>
            </c:extLst>
          </c:dPt>
          <c:dPt>
            <c:idx val="69"/>
            <c:marker>
              <c:symbol val="circle"/>
              <c:size val="6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80BD-4B15-A046-52C9D80F19B4}"/>
              </c:ext>
            </c:extLst>
          </c:dPt>
          <c:dPt>
            <c:idx val="70"/>
            <c:marker>
              <c:symbol val="circle"/>
              <c:size val="6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80BD-4B15-A046-52C9D80F19B4}"/>
              </c:ext>
            </c:extLst>
          </c:dPt>
          <c:dPt>
            <c:idx val="71"/>
            <c:marker>
              <c:symbol val="circle"/>
              <c:size val="6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80BD-4B15-A046-52C9D80F19B4}"/>
              </c:ext>
            </c:extLst>
          </c:dPt>
          <c:dPt>
            <c:idx val="72"/>
            <c:marker>
              <c:symbol val="circle"/>
              <c:size val="6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80BD-4B15-A046-52C9D80F19B4}"/>
              </c:ext>
            </c:extLst>
          </c:dPt>
          <c:dPt>
            <c:idx val="73"/>
            <c:marker>
              <c:symbol val="circle"/>
              <c:size val="6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80BD-4B15-A046-52C9D80F19B4}"/>
              </c:ext>
            </c:extLst>
          </c:dPt>
          <c:dPt>
            <c:idx val="74"/>
            <c:marker>
              <c:symbol val="circle"/>
              <c:size val="6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80BD-4B15-A046-52C9D80F19B4}"/>
              </c:ext>
            </c:extLst>
          </c:dPt>
          <c:dPt>
            <c:idx val="75"/>
            <c:marker>
              <c:symbol val="circle"/>
              <c:size val="6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80BD-4B15-A046-52C9D80F19B4}"/>
              </c:ext>
            </c:extLst>
          </c:dPt>
          <c:dPt>
            <c:idx val="76"/>
            <c:marker>
              <c:symbol val="circle"/>
              <c:size val="6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80BD-4B15-A046-52C9D80F19B4}"/>
              </c:ext>
            </c:extLst>
          </c:dPt>
          <c:dPt>
            <c:idx val="77"/>
            <c:marker>
              <c:symbol val="circle"/>
              <c:size val="6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80BD-4B15-A046-52C9D80F19B4}"/>
              </c:ext>
            </c:extLst>
          </c:dPt>
          <c:dPt>
            <c:idx val="78"/>
            <c:marker>
              <c:symbol val="circle"/>
              <c:size val="6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80BD-4B15-A046-52C9D80F19B4}"/>
              </c:ext>
            </c:extLst>
          </c:dPt>
          <c:dPt>
            <c:idx val="79"/>
            <c:marker>
              <c:symbol val="circle"/>
              <c:size val="6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5AFC-45ED-8E82-0F55E2EE4F3E}"/>
              </c:ext>
            </c:extLst>
          </c:dPt>
          <c:dPt>
            <c:idx val="80"/>
            <c:marker>
              <c:symbol val="circle"/>
              <c:size val="6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5AFC-45ED-8E82-0F55E2EE4F3E}"/>
              </c:ext>
            </c:extLst>
          </c:dPt>
          <c:dPt>
            <c:idx val="81"/>
            <c:marker>
              <c:symbol val="circle"/>
              <c:size val="6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5AFC-45ED-8E82-0F55E2EE4F3E}"/>
              </c:ext>
            </c:extLst>
          </c:dPt>
          <c:dPt>
            <c:idx val="82"/>
            <c:marker>
              <c:symbol val="circle"/>
              <c:size val="6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5AFC-45ED-8E82-0F55E2EE4F3E}"/>
              </c:ext>
            </c:extLst>
          </c:dPt>
          <c:dPt>
            <c:idx val="83"/>
            <c:marker>
              <c:symbol val="circle"/>
              <c:size val="6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5AFC-45ED-8E82-0F55E2EE4F3E}"/>
              </c:ext>
            </c:extLst>
          </c:dPt>
          <c:dPt>
            <c:idx val="84"/>
            <c:marker>
              <c:symbol val="circle"/>
              <c:size val="6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5AFC-45ED-8E82-0F55E2EE4F3E}"/>
              </c:ext>
            </c:extLst>
          </c:dPt>
          <c:dPt>
            <c:idx val="85"/>
            <c:marker>
              <c:symbol val="circle"/>
              <c:size val="6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5AFC-45ED-8E82-0F55E2EE4F3E}"/>
              </c:ext>
            </c:extLst>
          </c:dPt>
          <c:dPt>
            <c:idx val="86"/>
            <c:marker>
              <c:symbol val="circle"/>
              <c:size val="6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5AFC-45ED-8E82-0F55E2EE4F3E}"/>
              </c:ext>
            </c:extLst>
          </c:dPt>
          <c:dPt>
            <c:idx val="87"/>
            <c:marker>
              <c:symbol val="circle"/>
              <c:size val="6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5AFC-45ED-8E82-0F55E2EE4F3E}"/>
              </c:ext>
            </c:extLst>
          </c:dPt>
          <c:dPt>
            <c:idx val="88"/>
            <c:marker>
              <c:symbol val="circle"/>
              <c:size val="6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5AFC-45ED-8E82-0F55E2EE4F3E}"/>
              </c:ext>
            </c:extLst>
          </c:dPt>
          <c:dPt>
            <c:idx val="89"/>
            <c:marker>
              <c:symbol val="circle"/>
              <c:size val="6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5AFC-45ED-8E82-0F55E2EE4F3E}"/>
              </c:ext>
            </c:extLst>
          </c:dPt>
          <c:dPt>
            <c:idx val="90"/>
            <c:marker>
              <c:symbol val="circle"/>
              <c:size val="6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5AFC-45ED-8E82-0F55E2EE4F3E}"/>
              </c:ext>
            </c:extLst>
          </c:dPt>
          <c:dPt>
            <c:idx val="91"/>
            <c:marker>
              <c:symbol val="circle"/>
              <c:size val="6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5AFC-45ED-8E82-0F55E2EE4F3E}"/>
              </c:ext>
            </c:extLst>
          </c:dPt>
          <c:dPt>
            <c:idx val="92"/>
            <c:marker>
              <c:symbol val="circle"/>
              <c:size val="6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5AFC-45ED-8E82-0F55E2EE4F3E}"/>
              </c:ext>
            </c:extLst>
          </c:dPt>
          <c:dPt>
            <c:idx val="93"/>
            <c:marker>
              <c:symbol val="circle"/>
              <c:size val="6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5AFC-45ED-8E82-0F55E2EE4F3E}"/>
              </c:ext>
            </c:extLst>
          </c:dPt>
          <c:dPt>
            <c:idx val="94"/>
            <c:marker>
              <c:symbol val="circle"/>
              <c:size val="6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5AFC-45ED-8E82-0F55E2EE4F3E}"/>
              </c:ext>
            </c:extLst>
          </c:dPt>
          <c:dPt>
            <c:idx val="95"/>
            <c:marker>
              <c:symbol val="circle"/>
              <c:size val="6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5AFC-45ED-8E82-0F55E2EE4F3E}"/>
              </c:ext>
            </c:extLst>
          </c:dPt>
          <c:dPt>
            <c:idx val="96"/>
            <c:marker>
              <c:symbol val="circle"/>
              <c:size val="6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5AFC-45ED-8E82-0F55E2EE4F3E}"/>
              </c:ext>
            </c:extLst>
          </c:dPt>
          <c:dPt>
            <c:idx val="97"/>
            <c:marker>
              <c:symbol val="circle"/>
              <c:size val="6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5AFC-45ED-8E82-0F55E2EE4F3E}"/>
              </c:ext>
            </c:extLst>
          </c:dPt>
          <c:dPt>
            <c:idx val="98"/>
            <c:marker>
              <c:symbol val="circle"/>
              <c:size val="6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5AFC-45ED-8E82-0F55E2EE4F3E}"/>
              </c:ext>
            </c:extLst>
          </c:dPt>
          <c:dPt>
            <c:idx val="99"/>
            <c:marker>
              <c:symbol val="circle"/>
              <c:size val="6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5AFC-45ED-8E82-0F55E2EE4F3E}"/>
              </c:ext>
            </c:extLst>
          </c:dPt>
          <c:dPt>
            <c:idx val="100"/>
            <c:marker>
              <c:symbol val="circle"/>
              <c:size val="6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5AFC-45ED-8E82-0F55E2EE4F3E}"/>
              </c:ext>
            </c:extLst>
          </c:dPt>
          <c:dPt>
            <c:idx val="101"/>
            <c:marker>
              <c:symbol val="circle"/>
              <c:size val="6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5AFC-45ED-8E82-0F55E2EE4F3E}"/>
              </c:ext>
            </c:extLst>
          </c:dPt>
          <c:dPt>
            <c:idx val="102"/>
            <c:marker>
              <c:symbol val="circle"/>
              <c:size val="6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5AFC-45ED-8E82-0F55E2EE4F3E}"/>
              </c:ext>
            </c:extLst>
          </c:dPt>
          <c:dPt>
            <c:idx val="103"/>
            <c:marker>
              <c:symbol val="circle"/>
              <c:size val="6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5AFC-45ED-8E82-0F55E2EE4F3E}"/>
              </c:ext>
            </c:extLst>
          </c:dPt>
          <c:dPt>
            <c:idx val="104"/>
            <c:marker>
              <c:symbol val="circle"/>
              <c:size val="6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5AFC-45ED-8E82-0F55E2EE4F3E}"/>
              </c:ext>
            </c:extLst>
          </c:dPt>
          <c:dPt>
            <c:idx val="105"/>
            <c:marker>
              <c:symbol val="circle"/>
              <c:size val="6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5AFC-45ED-8E82-0F55E2EE4F3E}"/>
              </c:ext>
            </c:extLst>
          </c:dPt>
          <c:dPt>
            <c:idx val="106"/>
            <c:marker>
              <c:symbol val="circle"/>
              <c:size val="6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5AFC-45ED-8E82-0F55E2EE4F3E}"/>
              </c:ext>
            </c:extLst>
          </c:dPt>
          <c:dPt>
            <c:idx val="107"/>
            <c:marker>
              <c:symbol val="circle"/>
              <c:size val="6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5AFC-45ED-8E82-0F55E2EE4F3E}"/>
              </c:ext>
            </c:extLst>
          </c:dPt>
          <c:dPt>
            <c:idx val="108"/>
            <c:marker>
              <c:symbol val="circle"/>
              <c:size val="6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5AFC-45ED-8E82-0F55E2EE4F3E}"/>
              </c:ext>
            </c:extLst>
          </c:dPt>
          <c:dPt>
            <c:idx val="109"/>
            <c:marker>
              <c:symbol val="circle"/>
              <c:size val="6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5AFC-45ED-8E82-0F55E2EE4F3E}"/>
              </c:ext>
            </c:extLst>
          </c:dPt>
          <c:dPt>
            <c:idx val="110"/>
            <c:marker>
              <c:symbol val="circle"/>
              <c:size val="6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5AFC-45ED-8E82-0F55E2EE4F3E}"/>
              </c:ext>
            </c:extLst>
          </c:dPt>
          <c:dPt>
            <c:idx val="111"/>
            <c:marker>
              <c:symbol val="circle"/>
              <c:size val="6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5AFC-45ED-8E82-0F55E2EE4F3E}"/>
              </c:ext>
            </c:extLst>
          </c:dPt>
          <c:dPt>
            <c:idx val="112"/>
            <c:marker>
              <c:symbol val="circle"/>
              <c:size val="6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5AFC-45ED-8E82-0F55E2EE4F3E}"/>
              </c:ext>
            </c:extLst>
          </c:dPt>
          <c:dPt>
            <c:idx val="113"/>
            <c:marker>
              <c:symbol val="circle"/>
              <c:size val="6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5AFC-45ED-8E82-0F55E2EE4F3E}"/>
              </c:ext>
            </c:extLst>
          </c:dPt>
          <c:dPt>
            <c:idx val="114"/>
            <c:marker>
              <c:symbol val="circle"/>
              <c:size val="6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5AFC-45ED-8E82-0F55E2EE4F3E}"/>
              </c:ext>
            </c:extLst>
          </c:dPt>
          <c:dPt>
            <c:idx val="115"/>
            <c:marker>
              <c:symbol val="circle"/>
              <c:size val="6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5AFC-45ED-8E82-0F55E2EE4F3E}"/>
              </c:ext>
            </c:extLst>
          </c:dPt>
          <c:dPt>
            <c:idx val="116"/>
            <c:marker>
              <c:symbol val="circle"/>
              <c:size val="6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5AFC-45ED-8E82-0F55E2EE4F3E}"/>
              </c:ext>
            </c:extLst>
          </c:dPt>
          <c:dPt>
            <c:idx val="117"/>
            <c:marker>
              <c:symbol val="circle"/>
              <c:size val="6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5AFC-45ED-8E82-0F55E2EE4F3E}"/>
              </c:ext>
            </c:extLst>
          </c:dPt>
          <c:dPt>
            <c:idx val="118"/>
            <c:marker>
              <c:symbol val="circle"/>
              <c:size val="6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5AFC-45ED-8E82-0F55E2EE4F3E}"/>
              </c:ext>
            </c:extLst>
          </c:dPt>
          <c:dPt>
            <c:idx val="119"/>
            <c:marker>
              <c:symbol val="circle"/>
              <c:size val="6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5AFC-45ED-8E82-0F55E2EE4F3E}"/>
              </c:ext>
            </c:extLst>
          </c:dPt>
          <c:dPt>
            <c:idx val="120"/>
            <c:marker>
              <c:symbol val="circle"/>
              <c:size val="6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5AFC-45ED-8E82-0F55E2EE4F3E}"/>
              </c:ext>
            </c:extLst>
          </c:dPt>
          <c:dPt>
            <c:idx val="121"/>
            <c:marker>
              <c:symbol val="circle"/>
              <c:size val="6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5AFC-45ED-8E82-0F55E2EE4F3E}"/>
              </c:ext>
            </c:extLst>
          </c:dPt>
          <c:dPt>
            <c:idx val="122"/>
            <c:marker>
              <c:symbol val="circle"/>
              <c:size val="6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5AFC-45ED-8E82-0F55E2EE4F3E}"/>
              </c:ext>
            </c:extLst>
          </c:dPt>
          <c:dPt>
            <c:idx val="123"/>
            <c:marker>
              <c:symbol val="circle"/>
              <c:size val="6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5AFC-45ED-8E82-0F55E2EE4F3E}"/>
              </c:ext>
            </c:extLst>
          </c:dPt>
          <c:dPt>
            <c:idx val="124"/>
            <c:marker>
              <c:symbol val="circle"/>
              <c:size val="6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5AFC-45ED-8E82-0F55E2EE4F3E}"/>
              </c:ext>
            </c:extLst>
          </c:dPt>
          <c:dPt>
            <c:idx val="125"/>
            <c:marker>
              <c:symbol val="circle"/>
              <c:size val="6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5AFC-45ED-8E82-0F55E2EE4F3E}"/>
              </c:ext>
            </c:extLst>
          </c:dPt>
          <c:dPt>
            <c:idx val="126"/>
            <c:marker>
              <c:symbol val="circle"/>
              <c:size val="6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5AFC-45ED-8E82-0F55E2EE4F3E}"/>
              </c:ext>
            </c:extLst>
          </c:dPt>
          <c:dPt>
            <c:idx val="127"/>
            <c:marker>
              <c:symbol val="circle"/>
              <c:size val="6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5AFC-45ED-8E82-0F55E2EE4F3E}"/>
              </c:ext>
            </c:extLst>
          </c:dPt>
          <c:dPt>
            <c:idx val="128"/>
            <c:marker>
              <c:symbol val="circle"/>
              <c:size val="6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5AFC-45ED-8E82-0F55E2EE4F3E}"/>
              </c:ext>
            </c:extLst>
          </c:dPt>
          <c:dPt>
            <c:idx val="129"/>
            <c:marker>
              <c:symbol val="circle"/>
              <c:size val="6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5AFC-45ED-8E82-0F55E2EE4F3E}"/>
              </c:ext>
            </c:extLst>
          </c:dPt>
          <c:dPt>
            <c:idx val="130"/>
            <c:marker>
              <c:symbol val="circle"/>
              <c:size val="6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5AFC-45ED-8E82-0F55E2EE4F3E}"/>
              </c:ext>
            </c:extLst>
          </c:dPt>
          <c:dPt>
            <c:idx val="131"/>
            <c:marker>
              <c:symbol val="circle"/>
              <c:size val="6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5AFC-45ED-8E82-0F55E2EE4F3E}"/>
              </c:ext>
            </c:extLst>
          </c:dPt>
          <c:dPt>
            <c:idx val="132"/>
            <c:marker>
              <c:symbol val="circle"/>
              <c:size val="6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5AFC-45ED-8E82-0F55E2EE4F3E}"/>
              </c:ext>
            </c:extLst>
          </c:dPt>
          <c:dPt>
            <c:idx val="133"/>
            <c:marker>
              <c:symbol val="circle"/>
              <c:size val="6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5AFC-45ED-8E82-0F55E2EE4F3E}"/>
              </c:ext>
            </c:extLst>
          </c:dPt>
          <c:dPt>
            <c:idx val="134"/>
            <c:marker>
              <c:symbol val="circle"/>
              <c:size val="6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5AFC-45ED-8E82-0F55E2EE4F3E}"/>
              </c:ext>
            </c:extLst>
          </c:dPt>
          <c:dPt>
            <c:idx val="135"/>
            <c:marker>
              <c:symbol val="circle"/>
              <c:size val="6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5AFC-45ED-8E82-0F55E2EE4F3E}"/>
              </c:ext>
            </c:extLst>
          </c:dPt>
          <c:dPt>
            <c:idx val="136"/>
            <c:marker>
              <c:symbol val="circle"/>
              <c:size val="6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5AFC-45ED-8E82-0F55E2EE4F3E}"/>
              </c:ext>
            </c:extLst>
          </c:dPt>
          <c:dPt>
            <c:idx val="137"/>
            <c:marker>
              <c:symbol val="circle"/>
              <c:size val="6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5AFC-45ED-8E82-0F55E2EE4F3E}"/>
              </c:ext>
            </c:extLst>
          </c:dPt>
          <c:dPt>
            <c:idx val="138"/>
            <c:marker>
              <c:symbol val="circle"/>
              <c:size val="6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5AFC-45ED-8E82-0F55E2EE4F3E}"/>
              </c:ext>
            </c:extLst>
          </c:dPt>
          <c:dPt>
            <c:idx val="139"/>
            <c:marker>
              <c:symbol val="circle"/>
              <c:size val="6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5AFC-45ED-8E82-0F55E2EE4F3E}"/>
              </c:ext>
            </c:extLst>
          </c:dPt>
          <c:dPt>
            <c:idx val="140"/>
            <c:marker>
              <c:symbol val="circle"/>
              <c:size val="6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5AFC-45ED-8E82-0F55E2EE4F3E}"/>
              </c:ext>
            </c:extLst>
          </c:dPt>
          <c:dPt>
            <c:idx val="141"/>
            <c:marker>
              <c:symbol val="circle"/>
              <c:size val="6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5AFC-45ED-8E82-0F55E2EE4F3E}"/>
              </c:ext>
            </c:extLst>
          </c:dPt>
          <c:dPt>
            <c:idx val="142"/>
            <c:marker>
              <c:symbol val="circle"/>
              <c:size val="6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5AFC-45ED-8E82-0F55E2EE4F3E}"/>
              </c:ext>
            </c:extLst>
          </c:dPt>
          <c:dPt>
            <c:idx val="143"/>
            <c:marker>
              <c:symbol val="circle"/>
              <c:size val="6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5AFC-45ED-8E82-0F55E2EE4F3E}"/>
              </c:ext>
            </c:extLst>
          </c:dPt>
          <c:dPt>
            <c:idx val="144"/>
            <c:marker>
              <c:symbol val="circle"/>
              <c:size val="6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5AFC-45ED-8E82-0F55E2EE4F3E}"/>
              </c:ext>
            </c:extLst>
          </c:dPt>
          <c:dPt>
            <c:idx val="145"/>
            <c:marker>
              <c:symbol val="circle"/>
              <c:size val="6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5AFC-45ED-8E82-0F55E2EE4F3E}"/>
              </c:ext>
            </c:extLst>
          </c:dPt>
          <c:dPt>
            <c:idx val="146"/>
            <c:marker>
              <c:symbol val="circle"/>
              <c:size val="6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5AFC-45ED-8E82-0F55E2EE4F3E}"/>
              </c:ext>
            </c:extLst>
          </c:dPt>
          <c:dPt>
            <c:idx val="147"/>
            <c:marker>
              <c:symbol val="circle"/>
              <c:size val="6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5AFC-45ED-8E82-0F55E2EE4F3E}"/>
              </c:ext>
            </c:extLst>
          </c:dPt>
          <c:dPt>
            <c:idx val="148"/>
            <c:marker>
              <c:symbol val="circle"/>
              <c:size val="6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5AFC-45ED-8E82-0F55E2EE4F3E}"/>
              </c:ext>
            </c:extLst>
          </c:dPt>
          <c:dPt>
            <c:idx val="149"/>
            <c:marker>
              <c:symbol val="circle"/>
              <c:size val="6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5AFC-45ED-8E82-0F55E2EE4F3E}"/>
              </c:ext>
            </c:extLst>
          </c:dPt>
          <c:dPt>
            <c:idx val="150"/>
            <c:marker>
              <c:symbol val="circle"/>
              <c:size val="6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5AFC-45ED-8E82-0F55E2EE4F3E}"/>
              </c:ext>
            </c:extLst>
          </c:dPt>
          <c:dPt>
            <c:idx val="151"/>
            <c:marker>
              <c:symbol val="circle"/>
              <c:size val="6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5AFC-45ED-8E82-0F55E2EE4F3E}"/>
              </c:ext>
            </c:extLst>
          </c:dPt>
          <c:dPt>
            <c:idx val="152"/>
            <c:marker>
              <c:symbol val="circle"/>
              <c:size val="6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5AFC-45ED-8E82-0F55E2EE4F3E}"/>
              </c:ext>
            </c:extLst>
          </c:dPt>
          <c:dPt>
            <c:idx val="153"/>
            <c:marker>
              <c:symbol val="circle"/>
              <c:size val="6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5AFC-45ED-8E82-0F55E2EE4F3E}"/>
              </c:ext>
            </c:extLst>
          </c:dPt>
          <c:dPt>
            <c:idx val="154"/>
            <c:marker>
              <c:symbol val="circle"/>
              <c:size val="6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5AFC-45ED-8E82-0F55E2EE4F3E}"/>
              </c:ext>
            </c:extLst>
          </c:dPt>
          <c:dPt>
            <c:idx val="155"/>
            <c:marker>
              <c:symbol val="circle"/>
              <c:size val="6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5AFC-45ED-8E82-0F55E2EE4F3E}"/>
              </c:ext>
            </c:extLst>
          </c:dPt>
          <c:dPt>
            <c:idx val="156"/>
            <c:marker>
              <c:symbol val="circle"/>
              <c:size val="6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5AFC-45ED-8E82-0F55E2EE4F3E}"/>
              </c:ext>
            </c:extLst>
          </c:dPt>
          <c:dPt>
            <c:idx val="157"/>
            <c:marker>
              <c:symbol val="circle"/>
              <c:size val="6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5AFC-45ED-8E82-0F55E2EE4F3E}"/>
              </c:ext>
            </c:extLst>
          </c:dPt>
          <c:dPt>
            <c:idx val="158"/>
            <c:marker>
              <c:symbol val="circle"/>
              <c:size val="6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5AFC-45ED-8E82-0F55E2EE4F3E}"/>
              </c:ext>
            </c:extLst>
          </c:dPt>
          <c:dPt>
            <c:idx val="159"/>
            <c:marker>
              <c:symbol val="circle"/>
              <c:size val="6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5AFC-45ED-8E82-0F55E2EE4F3E}"/>
              </c:ext>
            </c:extLst>
          </c:dPt>
          <c:dPt>
            <c:idx val="160"/>
            <c:marker>
              <c:symbol val="circle"/>
              <c:size val="6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5AFC-45ED-8E82-0F55E2EE4F3E}"/>
              </c:ext>
            </c:extLst>
          </c:dPt>
          <c:dPt>
            <c:idx val="161"/>
            <c:marker>
              <c:symbol val="circle"/>
              <c:size val="6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5AFC-45ED-8E82-0F55E2EE4F3E}"/>
              </c:ext>
            </c:extLst>
          </c:dPt>
          <c:dPt>
            <c:idx val="162"/>
            <c:marker>
              <c:symbol val="circle"/>
              <c:size val="6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5AFC-45ED-8E82-0F55E2EE4F3E}"/>
              </c:ext>
            </c:extLst>
          </c:dPt>
          <c:dPt>
            <c:idx val="163"/>
            <c:marker>
              <c:symbol val="circle"/>
              <c:size val="6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5AFC-45ED-8E82-0F55E2EE4F3E}"/>
              </c:ext>
            </c:extLst>
          </c:dPt>
          <c:dPt>
            <c:idx val="164"/>
            <c:marker>
              <c:symbol val="circle"/>
              <c:size val="6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5AFC-45ED-8E82-0F55E2EE4F3E}"/>
              </c:ext>
            </c:extLst>
          </c:dPt>
          <c:dPt>
            <c:idx val="165"/>
            <c:marker>
              <c:symbol val="circle"/>
              <c:size val="6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5AFC-45ED-8E82-0F55E2EE4F3E}"/>
              </c:ext>
            </c:extLst>
          </c:dPt>
          <c:dPt>
            <c:idx val="166"/>
            <c:marker>
              <c:symbol val="circle"/>
              <c:size val="6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5AFC-45ED-8E82-0F55E2EE4F3E}"/>
              </c:ext>
            </c:extLst>
          </c:dPt>
          <c:dPt>
            <c:idx val="167"/>
            <c:marker>
              <c:symbol val="circle"/>
              <c:size val="6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5AFC-45ED-8E82-0F55E2EE4F3E}"/>
              </c:ext>
            </c:extLst>
          </c:dPt>
          <c:dPt>
            <c:idx val="168"/>
            <c:marker>
              <c:symbol val="circle"/>
              <c:size val="6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5AFC-45ED-8E82-0F55E2EE4F3E}"/>
              </c:ext>
            </c:extLst>
          </c:dPt>
          <c:dPt>
            <c:idx val="169"/>
            <c:marker>
              <c:symbol val="circle"/>
              <c:size val="6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5AFC-45ED-8E82-0F55E2EE4F3E}"/>
              </c:ext>
            </c:extLst>
          </c:dPt>
          <c:dPt>
            <c:idx val="170"/>
            <c:marker>
              <c:symbol val="circle"/>
              <c:size val="6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5AFC-45ED-8E82-0F55E2EE4F3E}"/>
              </c:ext>
            </c:extLst>
          </c:dPt>
          <c:dPt>
            <c:idx val="171"/>
            <c:marker>
              <c:symbol val="circle"/>
              <c:size val="6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5AFC-45ED-8E82-0F55E2EE4F3E}"/>
              </c:ext>
            </c:extLst>
          </c:dPt>
          <c:dPt>
            <c:idx val="172"/>
            <c:marker>
              <c:symbol val="circle"/>
              <c:size val="6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5AFC-45ED-8E82-0F55E2EE4F3E}"/>
              </c:ext>
            </c:extLst>
          </c:dPt>
          <c:dPt>
            <c:idx val="173"/>
            <c:marker>
              <c:symbol val="circle"/>
              <c:size val="6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5AFC-45ED-8E82-0F55E2EE4F3E}"/>
              </c:ext>
            </c:extLst>
          </c:dPt>
          <c:dPt>
            <c:idx val="174"/>
            <c:marker>
              <c:symbol val="circle"/>
              <c:size val="6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5AFC-45ED-8E82-0F55E2EE4F3E}"/>
              </c:ext>
            </c:extLst>
          </c:dPt>
          <c:dPt>
            <c:idx val="175"/>
            <c:marker>
              <c:symbol val="circle"/>
              <c:size val="6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5AFC-45ED-8E82-0F55E2EE4F3E}"/>
              </c:ext>
            </c:extLst>
          </c:dPt>
          <c:dPt>
            <c:idx val="176"/>
            <c:marker>
              <c:symbol val="circle"/>
              <c:size val="6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5AFC-45ED-8E82-0F55E2EE4F3E}"/>
              </c:ext>
            </c:extLst>
          </c:dPt>
          <c:dPt>
            <c:idx val="177"/>
            <c:marker>
              <c:symbol val="circle"/>
              <c:size val="6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5AFC-45ED-8E82-0F55E2EE4F3E}"/>
              </c:ext>
            </c:extLst>
          </c:dPt>
          <c:dPt>
            <c:idx val="178"/>
            <c:marker>
              <c:symbol val="circle"/>
              <c:size val="6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5AFC-45ED-8E82-0F55E2EE4F3E}"/>
              </c:ext>
            </c:extLst>
          </c:dPt>
          <c:xVal>
            <c:numRef>
              <c:f>Combined!$C$2:$C$180</c:f>
              <c:numCache>
                <c:formatCode>General</c:formatCode>
                <c:ptCount val="179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  <c:pt idx="60">
                  <c:v>0.46405775722723652</c:v>
                </c:pt>
                <c:pt idx="61">
                  <c:v>1.2383259323481755</c:v>
                </c:pt>
                <c:pt idx="62">
                  <c:v>2.0023783915429614</c:v>
                </c:pt>
                <c:pt idx="63">
                  <c:v>2.7626295603015825</c:v>
                </c:pt>
                <c:pt idx="64">
                  <c:v>3.5163084260374329</c:v>
                </c:pt>
                <c:pt idx="65">
                  <c:v>4.2569094285887017</c:v>
                </c:pt>
                <c:pt idx="66">
                  <c:v>5.0097597941938918</c:v>
                </c:pt>
                <c:pt idx="67">
                  <c:v>5.760751110056102</c:v>
                </c:pt>
                <c:pt idx="68">
                  <c:v>6.5317115610237879</c:v>
                </c:pt>
                <c:pt idx="69">
                  <c:v>7.2419962744591588</c:v>
                </c:pt>
                <c:pt idx="70">
                  <c:v>7.9751118795383844</c:v>
                </c:pt>
                <c:pt idx="71">
                  <c:v>8.7127470155278743</c:v>
                </c:pt>
                <c:pt idx="72">
                  <c:v>9.4577444588077899</c:v>
                </c:pt>
                <c:pt idx="73">
                  <c:v>10.216994920510437</c:v>
                </c:pt>
                <c:pt idx="74">
                  <c:v>10.972750496085112</c:v>
                </c:pt>
                <c:pt idx="75">
                  <c:v>11.539361853505397</c:v>
                </c:pt>
                <c:pt idx="76">
                  <c:v>11.696668914516664</c:v>
                </c:pt>
                <c:pt idx="77">
                  <c:v>11.788382676882955</c:v>
                </c:pt>
                <c:pt idx="78">
                  <c:v>12.146503985500914</c:v>
                </c:pt>
                <c:pt idx="79">
                  <c:v>12.914137580081288</c:v>
                </c:pt>
                <c:pt idx="80">
                  <c:v>13.669010295363153</c:v>
                </c:pt>
                <c:pt idx="81">
                  <c:v>14.254679946403305</c:v>
                </c:pt>
                <c:pt idx="82">
                  <c:v>14.974123889630617</c:v>
                </c:pt>
                <c:pt idx="83">
                  <c:v>15.669907904564305</c:v>
                </c:pt>
                <c:pt idx="84">
                  <c:v>16.334304863878202</c:v>
                </c:pt>
                <c:pt idx="85">
                  <c:v>17.061308667252284</c:v>
                </c:pt>
                <c:pt idx="86">
                  <c:v>17.798645612345101</c:v>
                </c:pt>
                <c:pt idx="87">
                  <c:v>18.462487983004216</c:v>
                </c:pt>
                <c:pt idx="88">
                  <c:v>19.204428205005705</c:v>
                </c:pt>
                <c:pt idx="89">
                  <c:v>19.939402611703152</c:v>
                </c:pt>
                <c:pt idx="90">
                  <c:v>20.671427755701853</c:v>
                </c:pt>
                <c:pt idx="91">
                  <c:v>21.201062291768604</c:v>
                </c:pt>
                <c:pt idx="92">
                  <c:v>21.876834397102073</c:v>
                </c:pt>
                <c:pt idx="93">
                  <c:v>22.591225555805668</c:v>
                </c:pt>
                <c:pt idx="94">
                  <c:v>23.2765562136989</c:v>
                </c:pt>
                <c:pt idx="95">
                  <c:v>23.986575784782481</c:v>
                </c:pt>
                <c:pt idx="96">
                  <c:v>24.631818081052621</c:v>
                </c:pt>
                <c:pt idx="97">
                  <c:v>25.295330317473656</c:v>
                </c:pt>
                <c:pt idx="98">
                  <c:v>25.972200736383797</c:v>
                </c:pt>
                <c:pt idx="99">
                  <c:v>26.605783957972243</c:v>
                </c:pt>
                <c:pt idx="100">
                  <c:v>27.258429402232562</c:v>
                </c:pt>
                <c:pt idx="101">
                  <c:v>27.908508649874477</c:v>
                </c:pt>
                <c:pt idx="102">
                  <c:v>28.55828522335004</c:v>
                </c:pt>
                <c:pt idx="103">
                  <c:v>29.193870839981329</c:v>
                </c:pt>
                <c:pt idx="104">
                  <c:v>29.823297273914132</c:v>
                </c:pt>
                <c:pt idx="105">
                  <c:v>30.512990696707011</c:v>
                </c:pt>
                <c:pt idx="106">
                  <c:v>31.162703957516307</c:v>
                </c:pt>
                <c:pt idx="107">
                  <c:v>31.676345986702412</c:v>
                </c:pt>
                <c:pt idx="108">
                  <c:v>32.226251494694381</c:v>
                </c:pt>
                <c:pt idx="109">
                  <c:v>32.797553259187204</c:v>
                </c:pt>
                <c:pt idx="110">
                  <c:v>33.357480316598682</c:v>
                </c:pt>
                <c:pt idx="111">
                  <c:v>33.916727207393585</c:v>
                </c:pt>
                <c:pt idx="112">
                  <c:v>34.450674708972414</c:v>
                </c:pt>
                <c:pt idx="113">
                  <c:v>34.95216197402894</c:v>
                </c:pt>
                <c:pt idx="114">
                  <c:v>35.432199401851207</c:v>
                </c:pt>
                <c:pt idx="115">
                  <c:v>35.91416396456723</c:v>
                </c:pt>
                <c:pt idx="116">
                  <c:v>36.347404376863757</c:v>
                </c:pt>
                <c:pt idx="117">
                  <c:v>36.718456512941579</c:v>
                </c:pt>
                <c:pt idx="118">
                  <c:v>36.9570051349925</c:v>
                </c:pt>
                <c:pt idx="119">
                  <c:v>36.891185867610552</c:v>
                </c:pt>
                <c:pt idx="120">
                  <c:v>35.679174033353391</c:v>
                </c:pt>
                <c:pt idx="121">
                  <c:v>34.182800325781386</c:v>
                </c:pt>
                <c:pt idx="122">
                  <c:v>32.66652726028137</c:v>
                </c:pt>
                <c:pt idx="123">
                  <c:v>31.187377128431045</c:v>
                </c:pt>
                <c:pt idx="124">
                  <c:v>29.762643536734473</c:v>
                </c:pt>
                <c:pt idx="125">
                  <c:v>28.230186513193136</c:v>
                </c:pt>
                <c:pt idx="126">
                  <c:v>26.70299918479666</c:v>
                </c:pt>
                <c:pt idx="127">
                  <c:v>25.195434680425393</c:v>
                </c:pt>
                <c:pt idx="128">
                  <c:v>24.216095462323594</c:v>
                </c:pt>
                <c:pt idx="129">
                  <c:v>23.070206504966087</c:v>
                </c:pt>
                <c:pt idx="130">
                  <c:v>21.536587418236536</c:v>
                </c:pt>
                <c:pt idx="131">
                  <c:v>19.997950871973938</c:v>
                </c:pt>
                <c:pt idx="132">
                  <c:v>18.451548093460577</c:v>
                </c:pt>
                <c:pt idx="133">
                  <c:v>16.919705250272518</c:v>
                </c:pt>
                <c:pt idx="134">
                  <c:v>16.844340690943806</c:v>
                </c:pt>
                <c:pt idx="135">
                  <c:v>17.704465341732721</c:v>
                </c:pt>
                <c:pt idx="136">
                  <c:v>18.191016314732337</c:v>
                </c:pt>
                <c:pt idx="137">
                  <c:v>17.173508617662741</c:v>
                </c:pt>
                <c:pt idx="138">
                  <c:v>15.685753586041667</c:v>
                </c:pt>
                <c:pt idx="139">
                  <c:v>14.275044141228747</c:v>
                </c:pt>
                <c:pt idx="140">
                  <c:v>12.774336706039614</c:v>
                </c:pt>
                <c:pt idx="141">
                  <c:v>11.335703035899147</c:v>
                </c:pt>
                <c:pt idx="142">
                  <c:v>10.063824806927144</c:v>
                </c:pt>
                <c:pt idx="143">
                  <c:v>10.754707502887436</c:v>
                </c:pt>
                <c:pt idx="144">
                  <c:v>11.201049377494256</c:v>
                </c:pt>
                <c:pt idx="145">
                  <c:v>10.525611101847611</c:v>
                </c:pt>
                <c:pt idx="146">
                  <c:v>9.0555807851379342</c:v>
                </c:pt>
                <c:pt idx="147">
                  <c:v>7.5758152995255568</c:v>
                </c:pt>
                <c:pt idx="148">
                  <c:v>6.2093984452955331</c:v>
                </c:pt>
                <c:pt idx="149">
                  <c:v>4.9824187477082731</c:v>
                </c:pt>
                <c:pt idx="150">
                  <c:v>4.1558311105980463</c:v>
                </c:pt>
                <c:pt idx="151">
                  <c:v>4.1782940517016698</c:v>
                </c:pt>
                <c:pt idx="152">
                  <c:v>4.1604157915091697</c:v>
                </c:pt>
                <c:pt idx="153">
                  <c:v>4.1737093707905579</c:v>
                </c:pt>
                <c:pt idx="154">
                  <c:v>4.1650004724202816</c:v>
                </c:pt>
                <c:pt idx="155">
                  <c:v>4.1691246898794398</c:v>
                </c:pt>
                <c:pt idx="156">
                  <c:v>4.1695851533314006</c:v>
                </c:pt>
                <c:pt idx="157">
                  <c:v>4.1645400089683218</c:v>
                </c:pt>
                <c:pt idx="158">
                  <c:v>4.1741698342425178</c:v>
                </c:pt>
                <c:pt idx="159">
                  <c:v>4.159955328057217</c:v>
                </c:pt>
                <c:pt idx="160">
                  <c:v>4.1787545151536358</c:v>
                </c:pt>
                <c:pt idx="161">
                  <c:v>4.1553706471458653</c:v>
                </c:pt>
                <c:pt idx="162">
                  <c:v>4.180045050760854</c:v>
                </c:pt>
                <c:pt idx="163">
                  <c:v>4.1586647924503044</c:v>
                </c:pt>
                <c:pt idx="164">
                  <c:v>4.1754603698491115</c:v>
                </c:pt>
                <c:pt idx="165">
                  <c:v>4.1632494733620602</c:v>
                </c:pt>
                <c:pt idx="166">
                  <c:v>4.1708756889373557</c:v>
                </c:pt>
                <c:pt idx="167">
                  <c:v>4.1678341542738035</c:v>
                </c:pt>
                <c:pt idx="168">
                  <c:v>4.1662910080255759</c:v>
                </c:pt>
                <c:pt idx="169">
                  <c:v>4.1724188351855833</c:v>
                </c:pt>
                <c:pt idx="170">
                  <c:v>4.1776919099424896</c:v>
                </c:pt>
                <c:pt idx="171">
                  <c:v>4.2838897804588001</c:v>
                </c:pt>
                <c:pt idx="172">
                  <c:v>3.9554600631995571</c:v>
                </c:pt>
                <c:pt idx="173">
                  <c:v>2.5193070321776938</c:v>
                </c:pt>
                <c:pt idx="174">
                  <c:v>1.2077093603054774</c:v>
                </c:pt>
                <c:pt idx="175">
                  <c:v>0.1095106650423701</c:v>
                </c:pt>
                <c:pt idx="176">
                  <c:v>-1.0459082041578225</c:v>
                </c:pt>
                <c:pt idx="177">
                  <c:v>-1.901553113980615</c:v>
                </c:pt>
                <c:pt idx="178">
                  <c:v>-3.3652014668132231</c:v>
                </c:pt>
              </c:numCache>
            </c:numRef>
          </c:xVal>
          <c:yVal>
            <c:numRef>
              <c:f>Combined!$B$2:$B$180</c:f>
              <c:numCache>
                <c:formatCode>General</c:formatCode>
                <c:ptCount val="179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  <c:pt idx="60">
                  <c:v>43.21416591788936</c:v>
                </c:pt>
                <c:pt idx="61">
                  <c:v>43.198985505390119</c:v>
                </c:pt>
                <c:pt idx="62">
                  <c:v>43.097711390262262</c:v>
                </c:pt>
                <c:pt idx="63">
                  <c:v>42.955275772599236</c:v>
                </c:pt>
                <c:pt idx="64">
                  <c:v>42.795313877304835</c:v>
                </c:pt>
                <c:pt idx="65">
                  <c:v>42.599627687508239</c:v>
                </c:pt>
                <c:pt idx="66">
                  <c:v>42.490064078706716</c:v>
                </c:pt>
                <c:pt idx="67">
                  <c:v>42.351318713554846</c:v>
                </c:pt>
                <c:pt idx="68">
                  <c:v>42.359303303383356</c:v>
                </c:pt>
                <c:pt idx="69">
                  <c:v>42.159419338700758</c:v>
                </c:pt>
                <c:pt idx="70">
                  <c:v>42.052442532599756</c:v>
                </c:pt>
                <c:pt idx="71">
                  <c:v>42.212045737856201</c:v>
                </c:pt>
                <c:pt idx="72">
                  <c:v>42.293204275714814</c:v>
                </c:pt>
                <c:pt idx="73">
                  <c:v>42.285145028437555</c:v>
                </c:pt>
                <c:pt idx="74">
                  <c:v>42.1407546058226</c:v>
                </c:pt>
                <c:pt idx="75">
                  <c:v>41.70626945239129</c:v>
                </c:pt>
                <c:pt idx="76">
                  <c:v>41.043776593286267</c:v>
                </c:pt>
                <c:pt idx="77">
                  <c:v>40.342267757670982</c:v>
                </c:pt>
                <c:pt idx="78">
                  <c:v>39.757778609798351</c:v>
                </c:pt>
                <c:pt idx="79">
                  <c:v>39.668317640133097</c:v>
                </c:pt>
                <c:pt idx="80">
                  <c:v>39.521213926902647</c:v>
                </c:pt>
                <c:pt idx="81">
                  <c:v>39.03222617013197</c:v>
                </c:pt>
                <c:pt idx="82">
                  <c:v>38.760323767430812</c:v>
                </c:pt>
                <c:pt idx="83">
                  <c:v>38.430260735491615</c:v>
                </c:pt>
                <c:pt idx="84">
                  <c:v>38.04964056454962</c:v>
                </c:pt>
                <c:pt idx="85">
                  <c:v>37.784235262202948</c:v>
                </c:pt>
                <c:pt idx="86">
                  <c:v>37.544400360695185</c:v>
                </c:pt>
                <c:pt idx="87">
                  <c:v>37.147636973177129</c:v>
                </c:pt>
                <c:pt idx="88">
                  <c:v>36.92267882333708</c:v>
                </c:pt>
                <c:pt idx="89">
                  <c:v>36.677575928260687</c:v>
                </c:pt>
                <c:pt idx="90">
                  <c:v>36.432488767721381</c:v>
                </c:pt>
                <c:pt idx="91">
                  <c:v>35.913832334687228</c:v>
                </c:pt>
                <c:pt idx="92">
                  <c:v>35.559527106398022</c:v>
                </c:pt>
                <c:pt idx="93">
                  <c:v>35.257060010221601</c:v>
                </c:pt>
                <c:pt idx="94">
                  <c:v>34.898960745077325</c:v>
                </c:pt>
                <c:pt idx="95">
                  <c:v>34.583929492685058</c:v>
                </c:pt>
                <c:pt idx="96">
                  <c:v>34.164964447730867</c:v>
                </c:pt>
                <c:pt idx="97">
                  <c:v>33.768774465150535</c:v>
                </c:pt>
                <c:pt idx="98">
                  <c:v>33.391627717479423</c:v>
                </c:pt>
                <c:pt idx="99">
                  <c:v>32.948648042509916</c:v>
                </c:pt>
                <c:pt idx="100">
                  <c:v>32.53007383407936</c:v>
                </c:pt>
                <c:pt idx="101">
                  <c:v>32.108638187819707</c:v>
                </c:pt>
                <c:pt idx="102">
                  <c:v>31.687409517155182</c:v>
                </c:pt>
                <c:pt idx="103">
                  <c:v>31.248073261934667</c:v>
                </c:pt>
                <c:pt idx="104">
                  <c:v>30.798751720067351</c:v>
                </c:pt>
                <c:pt idx="105">
                  <c:v>30.449247801523725</c:v>
                </c:pt>
                <c:pt idx="106">
                  <c:v>30.034365175201721</c:v>
                </c:pt>
                <c:pt idx="107">
                  <c:v>29.468045277998428</c:v>
                </c:pt>
                <c:pt idx="108">
                  <c:v>28.92437516254865</c:v>
                </c:pt>
                <c:pt idx="109">
                  <c:v>28.398837549045286</c:v>
                </c:pt>
                <c:pt idx="110">
                  <c:v>27.860280082950108</c:v>
                </c:pt>
                <c:pt idx="111">
                  <c:v>27.32241791663391</c:v>
                </c:pt>
                <c:pt idx="112">
                  <c:v>26.759305892023363</c:v>
                </c:pt>
                <c:pt idx="113">
                  <c:v>26.165443734369994</c:v>
                </c:pt>
                <c:pt idx="114">
                  <c:v>25.554439815052323</c:v>
                </c:pt>
                <c:pt idx="115">
                  <c:v>24.944859256707716</c:v>
                </c:pt>
                <c:pt idx="116">
                  <c:v>24.299503648503194</c:v>
                </c:pt>
                <c:pt idx="117">
                  <c:v>23.617096148576113</c:v>
                </c:pt>
                <c:pt idx="118">
                  <c:v>22.883342690198191</c:v>
                </c:pt>
                <c:pt idx="119">
                  <c:v>22.150250927148164</c:v>
                </c:pt>
                <c:pt idx="120">
                  <c:v>21.273587671303904</c:v>
                </c:pt>
                <c:pt idx="121">
                  <c:v>20.902586323236779</c:v>
                </c:pt>
                <c:pt idx="122">
                  <c:v>20.659085445859226</c:v>
                </c:pt>
                <c:pt idx="123">
                  <c:v>20.355868094070843</c:v>
                </c:pt>
                <c:pt idx="124">
                  <c:v>20.22055996101443</c:v>
                </c:pt>
                <c:pt idx="125">
                  <c:v>20.096145818709779</c:v>
                </c:pt>
                <c:pt idx="126">
                  <c:v>19.92766984465176</c:v>
                </c:pt>
                <c:pt idx="127">
                  <c:v>19.626652699457949</c:v>
                </c:pt>
                <c:pt idx="128">
                  <c:v>18.594929331401559</c:v>
                </c:pt>
                <c:pt idx="129">
                  <c:v>17.647351766388358</c:v>
                </c:pt>
                <c:pt idx="130">
                  <c:v>17.552701081557981</c:v>
                </c:pt>
                <c:pt idx="131">
                  <c:v>17.678760782069869</c:v>
                </c:pt>
                <c:pt idx="132">
                  <c:v>17.627529768878631</c:v>
                </c:pt>
                <c:pt idx="133">
                  <c:v>17.426402469433199</c:v>
                </c:pt>
                <c:pt idx="134">
                  <c:v>16.863081483709585</c:v>
                </c:pt>
                <c:pt idx="135">
                  <c:v>15.620007884664322</c:v>
                </c:pt>
                <c:pt idx="136">
                  <c:v>14.181303432232092</c:v>
                </c:pt>
                <c:pt idx="137">
                  <c:v>13.137684179346092</c:v>
                </c:pt>
                <c:pt idx="138">
                  <c:v>12.709353371379056</c:v>
                </c:pt>
                <c:pt idx="139">
                  <c:v>12.350339081273514</c:v>
                </c:pt>
                <c:pt idx="140">
                  <c:v>12.463669765550497</c:v>
                </c:pt>
                <c:pt idx="141">
                  <c:v>12.83186272530625</c:v>
                </c:pt>
                <c:pt idx="142">
                  <c:v>13.029528982088747</c:v>
                </c:pt>
                <c:pt idx="143">
                  <c:v>11.793428667425328</c:v>
                </c:pt>
                <c:pt idx="144">
                  <c:v>10.347811388521189</c:v>
                </c:pt>
                <c:pt idx="145">
                  <c:v>9.213142126160621</c:v>
                </c:pt>
                <c:pt idx="146">
                  <c:v>9.0393457442379876</c:v>
                </c:pt>
                <c:pt idx="147">
                  <c:v>9.1279746838676896</c:v>
                </c:pt>
                <c:pt idx="148">
                  <c:v>9.6604995013668429</c:v>
                </c:pt>
                <c:pt idx="149">
                  <c:v>9.6821572951725923</c:v>
                </c:pt>
                <c:pt idx="150">
                  <c:v>10.45326558640763</c:v>
                </c:pt>
                <c:pt idx="151">
                  <c:v>10.442531302494281</c:v>
                </c:pt>
                <c:pt idx="152">
                  <c:v>10.451074721626163</c:v>
                </c:pt>
                <c:pt idx="153">
                  <c:v>10.444722167275742</c:v>
                </c:pt>
                <c:pt idx="154">
                  <c:v>10.4488838568447</c:v>
                </c:pt>
                <c:pt idx="155">
                  <c:v>10.446913032057207</c:v>
                </c:pt>
                <c:pt idx="156">
                  <c:v>10.446692992063234</c:v>
                </c:pt>
                <c:pt idx="157">
                  <c:v>10.449103896838672</c:v>
                </c:pt>
                <c:pt idx="158">
                  <c:v>10.444502127281769</c:v>
                </c:pt>
                <c:pt idx="159">
                  <c:v>10.451294761620133</c:v>
                </c:pt>
                <c:pt idx="160">
                  <c:v>10.442311262500304</c:v>
                </c:pt>
                <c:pt idx="161">
                  <c:v>10.453485626401708</c:v>
                </c:pt>
                <c:pt idx="162">
                  <c:v>10.44169455894647</c:v>
                </c:pt>
                <c:pt idx="163">
                  <c:v>10.45191146517382</c:v>
                </c:pt>
                <c:pt idx="164">
                  <c:v>10.443885423728233</c:v>
                </c:pt>
                <c:pt idx="165">
                  <c:v>10.44972060039205</c:v>
                </c:pt>
                <c:pt idx="166">
                  <c:v>10.446076288510003</c:v>
                </c:pt>
                <c:pt idx="167">
                  <c:v>10.447529735610285</c:v>
                </c:pt>
                <c:pt idx="168">
                  <c:v>10.448267153291786</c:v>
                </c:pt>
                <c:pt idx="169">
                  <c:v>10.445338870828504</c:v>
                </c:pt>
                <c:pt idx="170">
                  <c:v>10.125212436046409</c:v>
                </c:pt>
                <c:pt idx="171">
                  <c:v>8.6256147387355746</c:v>
                </c:pt>
                <c:pt idx="172">
                  <c:v>7.2777108964228692</c:v>
                </c:pt>
                <c:pt idx="173">
                  <c:v>7.3488297049937579</c:v>
                </c:pt>
                <c:pt idx="174">
                  <c:v>7.8818249327266869</c:v>
                </c:pt>
                <c:pt idx="175">
                  <c:v>8.7109820810565619</c:v>
                </c:pt>
                <c:pt idx="176">
                  <c:v>8.1010218452350955</c:v>
                </c:pt>
                <c:pt idx="177">
                  <c:v>9.1105853102206904</c:v>
                </c:pt>
                <c:pt idx="17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AD1-4E96-A8DD-66615EDD7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C3A-430B-9463-E6DE35401103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C3A-430B-9463-E6DE35401103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C3A-430B-9463-E6DE35401103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C3A-430B-9463-E6DE35401103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C3A-430B-9463-E6DE35401103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C3A-430B-9463-E6DE35401103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C3A-430B-9463-E6DE35401103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C3A-430B-9463-E6DE35401103}"/>
              </c:ext>
            </c:extLst>
          </c:dPt>
          <c:dPt>
            <c:idx val="8"/>
            <c:marker>
              <c:symbol val="circle"/>
              <c:size val="6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C3A-430B-9463-E6DE35401103}"/>
              </c:ext>
            </c:extLst>
          </c:dPt>
          <c:dPt>
            <c:idx val="9"/>
            <c:marker>
              <c:symbol val="circle"/>
              <c:size val="6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C3A-430B-9463-E6DE35401103}"/>
              </c:ext>
            </c:extLst>
          </c:dPt>
          <c:dPt>
            <c:idx val="10"/>
            <c:marker>
              <c:symbol val="circle"/>
              <c:size val="6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FC3A-430B-9463-E6DE35401103}"/>
              </c:ext>
            </c:extLst>
          </c:dPt>
          <c:dPt>
            <c:idx val="11"/>
            <c:marker>
              <c:symbol val="circle"/>
              <c:size val="6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C3A-430B-9463-E6DE35401103}"/>
              </c:ext>
            </c:extLst>
          </c:dPt>
          <c:dPt>
            <c:idx val="12"/>
            <c:marker>
              <c:symbol val="circle"/>
              <c:size val="6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FC3A-430B-9463-E6DE35401103}"/>
              </c:ext>
            </c:extLst>
          </c:dPt>
          <c:dPt>
            <c:idx val="13"/>
            <c:marker>
              <c:symbol val="circle"/>
              <c:size val="6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C3A-430B-9463-E6DE35401103}"/>
              </c:ext>
            </c:extLst>
          </c:dPt>
          <c:dPt>
            <c:idx val="14"/>
            <c:marker>
              <c:symbol val="circle"/>
              <c:size val="6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FC3A-430B-9463-E6DE35401103}"/>
              </c:ext>
            </c:extLst>
          </c:dPt>
          <c:dPt>
            <c:idx val="15"/>
            <c:marker>
              <c:symbol val="circle"/>
              <c:size val="6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C3A-430B-9463-E6DE35401103}"/>
              </c:ext>
            </c:extLst>
          </c:dPt>
          <c:dPt>
            <c:idx val="16"/>
            <c:marker>
              <c:symbol val="circle"/>
              <c:size val="6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FC3A-430B-9463-E6DE35401103}"/>
              </c:ext>
            </c:extLst>
          </c:dPt>
          <c:dPt>
            <c:idx val="17"/>
            <c:marker>
              <c:symbol val="circle"/>
              <c:size val="6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C3A-430B-9463-E6DE35401103}"/>
              </c:ext>
            </c:extLst>
          </c:dPt>
          <c:dPt>
            <c:idx val="18"/>
            <c:marker>
              <c:symbol val="circle"/>
              <c:size val="6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FC3A-430B-9463-E6DE35401103}"/>
              </c:ext>
            </c:extLst>
          </c:dPt>
          <c:dPt>
            <c:idx val="19"/>
            <c:marker>
              <c:symbol val="circle"/>
              <c:size val="6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C3A-430B-9463-E6DE35401103}"/>
              </c:ext>
            </c:extLst>
          </c:dPt>
          <c:dPt>
            <c:idx val="20"/>
            <c:marker>
              <c:symbol val="circle"/>
              <c:size val="6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FC3A-430B-9463-E6DE35401103}"/>
              </c:ext>
            </c:extLst>
          </c:dPt>
          <c:dPt>
            <c:idx val="21"/>
            <c:marker>
              <c:symbol val="circle"/>
              <c:size val="6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FC3A-430B-9463-E6DE35401103}"/>
              </c:ext>
            </c:extLst>
          </c:dPt>
          <c:dPt>
            <c:idx val="22"/>
            <c:marker>
              <c:symbol val="circle"/>
              <c:size val="6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FC3A-430B-9463-E6DE35401103}"/>
              </c:ext>
            </c:extLst>
          </c:dPt>
          <c:dPt>
            <c:idx val="23"/>
            <c:marker>
              <c:symbol val="circle"/>
              <c:size val="6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FC3A-430B-9463-E6DE35401103}"/>
              </c:ext>
            </c:extLst>
          </c:dPt>
          <c:dPt>
            <c:idx val="24"/>
            <c:marker>
              <c:symbol val="circle"/>
              <c:size val="6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FC3A-430B-9463-E6DE35401103}"/>
              </c:ext>
            </c:extLst>
          </c:dPt>
          <c:dPt>
            <c:idx val="25"/>
            <c:marker>
              <c:symbol val="circle"/>
              <c:size val="6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FC3A-430B-9463-E6DE35401103}"/>
              </c:ext>
            </c:extLst>
          </c:dPt>
          <c:dPt>
            <c:idx val="26"/>
            <c:marker>
              <c:symbol val="circle"/>
              <c:size val="6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FC3A-430B-9463-E6DE35401103}"/>
              </c:ext>
            </c:extLst>
          </c:dPt>
          <c:dPt>
            <c:idx val="27"/>
            <c:marker>
              <c:symbol val="circle"/>
              <c:size val="6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FC3A-430B-9463-E6DE35401103}"/>
              </c:ext>
            </c:extLst>
          </c:dPt>
          <c:dPt>
            <c:idx val="28"/>
            <c:marker>
              <c:symbol val="circle"/>
              <c:size val="6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FC3A-430B-9463-E6DE35401103}"/>
              </c:ext>
            </c:extLst>
          </c:dPt>
          <c:dPt>
            <c:idx val="29"/>
            <c:marker>
              <c:symbol val="circle"/>
              <c:size val="6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FC3A-430B-9463-E6DE35401103}"/>
              </c:ext>
            </c:extLst>
          </c:dPt>
          <c:dPt>
            <c:idx val="30"/>
            <c:marker>
              <c:symbol val="circle"/>
              <c:size val="6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FC3A-430B-9463-E6DE35401103}"/>
              </c:ext>
            </c:extLst>
          </c:dPt>
          <c:dPt>
            <c:idx val="31"/>
            <c:marker>
              <c:symbol val="circle"/>
              <c:size val="6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FC3A-430B-9463-E6DE35401103}"/>
              </c:ext>
            </c:extLst>
          </c:dPt>
          <c:dPt>
            <c:idx val="32"/>
            <c:marker>
              <c:symbol val="circle"/>
              <c:size val="6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FC3A-430B-9463-E6DE35401103}"/>
              </c:ext>
            </c:extLst>
          </c:dPt>
          <c:dPt>
            <c:idx val="33"/>
            <c:marker>
              <c:symbol val="circle"/>
              <c:size val="6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FC3A-430B-9463-E6DE35401103}"/>
              </c:ext>
            </c:extLst>
          </c:dPt>
          <c:dPt>
            <c:idx val="34"/>
            <c:marker>
              <c:symbol val="circle"/>
              <c:size val="6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FC3A-430B-9463-E6DE35401103}"/>
              </c:ext>
            </c:extLst>
          </c:dPt>
          <c:dPt>
            <c:idx val="35"/>
            <c:marker>
              <c:symbol val="circle"/>
              <c:size val="6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FC3A-430B-9463-E6DE35401103}"/>
              </c:ext>
            </c:extLst>
          </c:dPt>
          <c:dPt>
            <c:idx val="36"/>
            <c:marker>
              <c:symbol val="circle"/>
              <c:size val="6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C3A-430B-9463-E6DE35401103}"/>
              </c:ext>
            </c:extLst>
          </c:dPt>
          <c:dPt>
            <c:idx val="37"/>
            <c:marker>
              <c:symbol val="circle"/>
              <c:size val="6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FC3A-430B-9463-E6DE35401103}"/>
              </c:ext>
            </c:extLst>
          </c:dPt>
          <c:dPt>
            <c:idx val="38"/>
            <c:marker>
              <c:symbol val="circle"/>
              <c:size val="6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C3A-430B-9463-E6DE35401103}"/>
              </c:ext>
            </c:extLst>
          </c:dPt>
          <c:dPt>
            <c:idx val="39"/>
            <c:marker>
              <c:symbol val="circle"/>
              <c:size val="6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914-4E93-8970-84F3611058F6}"/>
              </c:ext>
            </c:extLst>
          </c:dPt>
          <c:dPt>
            <c:idx val="40"/>
            <c:marker>
              <c:symbol val="circle"/>
              <c:size val="6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914-4E93-8970-84F3611058F6}"/>
              </c:ext>
            </c:extLst>
          </c:dPt>
          <c:dPt>
            <c:idx val="41"/>
            <c:marker>
              <c:symbol val="circle"/>
              <c:size val="6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914-4E93-8970-84F3611058F6}"/>
              </c:ext>
            </c:extLst>
          </c:dPt>
          <c:dPt>
            <c:idx val="42"/>
            <c:marker>
              <c:symbol val="circle"/>
              <c:size val="6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914-4E93-8970-84F3611058F6}"/>
              </c:ext>
            </c:extLst>
          </c:dPt>
          <c:dPt>
            <c:idx val="43"/>
            <c:marker>
              <c:symbol val="circle"/>
              <c:size val="6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914-4E93-8970-84F3611058F6}"/>
              </c:ext>
            </c:extLst>
          </c:dPt>
          <c:dPt>
            <c:idx val="44"/>
            <c:marker>
              <c:symbol val="circle"/>
              <c:size val="6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914-4E93-8970-84F3611058F6}"/>
              </c:ext>
            </c:extLst>
          </c:dPt>
          <c:dPt>
            <c:idx val="45"/>
            <c:marker>
              <c:symbol val="circle"/>
              <c:size val="6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914-4E93-8970-84F3611058F6}"/>
              </c:ext>
            </c:extLst>
          </c:dPt>
          <c:dPt>
            <c:idx val="46"/>
            <c:marker>
              <c:symbol val="circle"/>
              <c:size val="6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914-4E93-8970-84F3611058F6}"/>
              </c:ext>
            </c:extLst>
          </c:dPt>
          <c:dPt>
            <c:idx val="47"/>
            <c:marker>
              <c:symbol val="circle"/>
              <c:size val="6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914-4E93-8970-84F3611058F6}"/>
              </c:ext>
            </c:extLst>
          </c:dPt>
          <c:dPt>
            <c:idx val="48"/>
            <c:marker>
              <c:symbol val="circle"/>
              <c:size val="6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914-4E93-8970-84F3611058F6}"/>
              </c:ext>
            </c:extLst>
          </c:dPt>
          <c:dPt>
            <c:idx val="49"/>
            <c:marker>
              <c:symbol val="circle"/>
              <c:size val="6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914-4E93-8970-84F3611058F6}"/>
              </c:ext>
            </c:extLst>
          </c:dPt>
          <c:dPt>
            <c:idx val="50"/>
            <c:marker>
              <c:symbol val="circle"/>
              <c:size val="6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914-4E93-8970-84F3611058F6}"/>
              </c:ext>
            </c:extLst>
          </c:dPt>
          <c:dPt>
            <c:idx val="51"/>
            <c:marker>
              <c:symbol val="circle"/>
              <c:size val="6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914-4E93-8970-84F3611058F6}"/>
              </c:ext>
            </c:extLst>
          </c:dPt>
          <c:dPt>
            <c:idx val="52"/>
            <c:marker>
              <c:symbol val="circle"/>
              <c:size val="6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914-4E93-8970-84F3611058F6}"/>
              </c:ext>
            </c:extLst>
          </c:dPt>
          <c:dPt>
            <c:idx val="53"/>
            <c:marker>
              <c:symbol val="circle"/>
              <c:size val="6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914-4E93-8970-84F3611058F6}"/>
              </c:ext>
            </c:extLst>
          </c:dPt>
          <c:dPt>
            <c:idx val="54"/>
            <c:marker>
              <c:symbol val="circle"/>
              <c:size val="6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914-4E93-8970-84F3611058F6}"/>
              </c:ext>
            </c:extLst>
          </c:dPt>
          <c:dPt>
            <c:idx val="55"/>
            <c:marker>
              <c:symbol val="circle"/>
              <c:size val="6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914-4E93-8970-84F3611058F6}"/>
              </c:ext>
            </c:extLst>
          </c:dPt>
          <c:dPt>
            <c:idx val="56"/>
            <c:marker>
              <c:symbol val="circle"/>
              <c:size val="6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914-4E93-8970-84F3611058F6}"/>
              </c:ext>
            </c:extLst>
          </c:dPt>
          <c:dPt>
            <c:idx val="57"/>
            <c:marker>
              <c:symbol val="circle"/>
              <c:size val="6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914-4E93-8970-84F3611058F6}"/>
              </c:ext>
            </c:extLst>
          </c:dPt>
          <c:dPt>
            <c:idx val="58"/>
            <c:marker>
              <c:symbol val="circle"/>
              <c:size val="6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914-4E93-8970-84F3611058F6}"/>
              </c:ext>
            </c:extLst>
          </c:dPt>
          <c:dPt>
            <c:idx val="59"/>
            <c:marker>
              <c:symbol val="circle"/>
              <c:size val="6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914-4E93-8970-84F3611058F6}"/>
              </c:ext>
            </c:extLst>
          </c:dPt>
          <c:dPt>
            <c:idx val="60"/>
            <c:marker>
              <c:symbol val="triangle"/>
              <c:size val="10"/>
              <c:spPr>
                <a:solidFill>
                  <a:srgbClr val="96FF01"/>
                </a:solidFill>
                <a:ln w="9525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7914-4E93-8970-84F3611058F6}"/>
              </c:ext>
            </c:extLst>
          </c:dPt>
          <c:dPt>
            <c:idx val="61"/>
            <c:marker>
              <c:symbol val="circle"/>
              <c:size val="6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7914-4E93-8970-84F3611058F6}"/>
              </c:ext>
            </c:extLst>
          </c:dPt>
          <c:dPt>
            <c:idx val="62"/>
            <c:marker>
              <c:symbol val="circle"/>
              <c:size val="6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7914-4E93-8970-84F3611058F6}"/>
              </c:ext>
            </c:extLst>
          </c:dPt>
          <c:dPt>
            <c:idx val="63"/>
            <c:marker>
              <c:symbol val="circle"/>
              <c:size val="6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7914-4E93-8970-84F3611058F6}"/>
              </c:ext>
            </c:extLst>
          </c:dPt>
          <c:dPt>
            <c:idx val="64"/>
            <c:marker>
              <c:symbol val="circle"/>
              <c:size val="6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7914-4E93-8970-84F3611058F6}"/>
              </c:ext>
            </c:extLst>
          </c:dPt>
          <c:dPt>
            <c:idx val="65"/>
            <c:marker>
              <c:symbol val="circle"/>
              <c:size val="6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7914-4E93-8970-84F3611058F6}"/>
              </c:ext>
            </c:extLst>
          </c:dPt>
          <c:dPt>
            <c:idx val="66"/>
            <c:marker>
              <c:symbol val="circle"/>
              <c:size val="6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7914-4E93-8970-84F3611058F6}"/>
              </c:ext>
            </c:extLst>
          </c:dPt>
          <c:dPt>
            <c:idx val="67"/>
            <c:marker>
              <c:symbol val="circle"/>
              <c:size val="6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7914-4E93-8970-84F3611058F6}"/>
              </c:ext>
            </c:extLst>
          </c:dPt>
          <c:dPt>
            <c:idx val="68"/>
            <c:marker>
              <c:symbol val="circle"/>
              <c:size val="6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7914-4E93-8970-84F3611058F6}"/>
              </c:ext>
            </c:extLst>
          </c:dPt>
          <c:dPt>
            <c:idx val="69"/>
            <c:marker>
              <c:symbol val="circle"/>
              <c:size val="6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7914-4E93-8970-84F3611058F6}"/>
              </c:ext>
            </c:extLst>
          </c:dPt>
          <c:dPt>
            <c:idx val="70"/>
            <c:marker>
              <c:symbol val="circle"/>
              <c:size val="6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7914-4E93-8970-84F3611058F6}"/>
              </c:ext>
            </c:extLst>
          </c:dPt>
          <c:dPt>
            <c:idx val="71"/>
            <c:marker>
              <c:symbol val="circle"/>
              <c:size val="6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7914-4E93-8970-84F3611058F6}"/>
              </c:ext>
            </c:extLst>
          </c:dPt>
          <c:dPt>
            <c:idx val="72"/>
            <c:marker>
              <c:symbol val="circle"/>
              <c:size val="6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7914-4E93-8970-84F3611058F6}"/>
              </c:ext>
            </c:extLst>
          </c:dPt>
          <c:dPt>
            <c:idx val="73"/>
            <c:marker>
              <c:symbol val="circle"/>
              <c:size val="6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7914-4E93-8970-84F3611058F6}"/>
              </c:ext>
            </c:extLst>
          </c:dPt>
          <c:dPt>
            <c:idx val="74"/>
            <c:marker>
              <c:symbol val="circle"/>
              <c:size val="6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7914-4E93-8970-84F3611058F6}"/>
              </c:ext>
            </c:extLst>
          </c:dPt>
          <c:dPt>
            <c:idx val="75"/>
            <c:marker>
              <c:symbol val="circle"/>
              <c:size val="6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7914-4E93-8970-84F3611058F6}"/>
              </c:ext>
            </c:extLst>
          </c:dPt>
          <c:dPt>
            <c:idx val="76"/>
            <c:marker>
              <c:symbol val="circle"/>
              <c:size val="6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7914-4E93-8970-84F3611058F6}"/>
              </c:ext>
            </c:extLst>
          </c:dPt>
          <c:dPt>
            <c:idx val="77"/>
            <c:marker>
              <c:symbol val="circle"/>
              <c:size val="6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7914-4E93-8970-84F3611058F6}"/>
              </c:ext>
            </c:extLst>
          </c:dPt>
          <c:dPt>
            <c:idx val="78"/>
            <c:marker>
              <c:symbol val="circle"/>
              <c:size val="6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7914-4E93-8970-84F3611058F6}"/>
              </c:ext>
            </c:extLst>
          </c:dPt>
          <c:dPt>
            <c:idx val="79"/>
            <c:marker>
              <c:symbol val="circle"/>
              <c:size val="6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068B-4C5D-A87B-C3231AF4D6CD}"/>
              </c:ext>
            </c:extLst>
          </c:dPt>
          <c:dPt>
            <c:idx val="80"/>
            <c:marker>
              <c:symbol val="circle"/>
              <c:size val="6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068B-4C5D-A87B-C3231AF4D6CD}"/>
              </c:ext>
            </c:extLst>
          </c:dPt>
          <c:dPt>
            <c:idx val="81"/>
            <c:marker>
              <c:symbol val="circle"/>
              <c:size val="6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068B-4C5D-A87B-C3231AF4D6CD}"/>
              </c:ext>
            </c:extLst>
          </c:dPt>
          <c:dPt>
            <c:idx val="82"/>
            <c:marker>
              <c:symbol val="circle"/>
              <c:size val="6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068B-4C5D-A87B-C3231AF4D6CD}"/>
              </c:ext>
            </c:extLst>
          </c:dPt>
          <c:dPt>
            <c:idx val="83"/>
            <c:marker>
              <c:symbol val="circle"/>
              <c:size val="6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068B-4C5D-A87B-C3231AF4D6CD}"/>
              </c:ext>
            </c:extLst>
          </c:dPt>
          <c:dPt>
            <c:idx val="84"/>
            <c:marker>
              <c:symbol val="circle"/>
              <c:size val="6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068B-4C5D-A87B-C3231AF4D6CD}"/>
              </c:ext>
            </c:extLst>
          </c:dPt>
          <c:dPt>
            <c:idx val="85"/>
            <c:marker>
              <c:symbol val="circle"/>
              <c:size val="6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068B-4C5D-A87B-C3231AF4D6CD}"/>
              </c:ext>
            </c:extLst>
          </c:dPt>
          <c:dPt>
            <c:idx val="86"/>
            <c:marker>
              <c:symbol val="circle"/>
              <c:size val="6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068B-4C5D-A87B-C3231AF4D6CD}"/>
              </c:ext>
            </c:extLst>
          </c:dPt>
          <c:dPt>
            <c:idx val="87"/>
            <c:marker>
              <c:symbol val="circle"/>
              <c:size val="6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068B-4C5D-A87B-C3231AF4D6CD}"/>
              </c:ext>
            </c:extLst>
          </c:dPt>
          <c:dPt>
            <c:idx val="88"/>
            <c:marker>
              <c:symbol val="circle"/>
              <c:size val="6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068B-4C5D-A87B-C3231AF4D6CD}"/>
              </c:ext>
            </c:extLst>
          </c:dPt>
          <c:dPt>
            <c:idx val="89"/>
            <c:marker>
              <c:symbol val="circle"/>
              <c:size val="6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068B-4C5D-A87B-C3231AF4D6CD}"/>
              </c:ext>
            </c:extLst>
          </c:dPt>
          <c:dPt>
            <c:idx val="90"/>
            <c:marker>
              <c:symbol val="circle"/>
              <c:size val="6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068B-4C5D-A87B-C3231AF4D6CD}"/>
              </c:ext>
            </c:extLst>
          </c:dPt>
          <c:dPt>
            <c:idx val="91"/>
            <c:marker>
              <c:symbol val="circle"/>
              <c:size val="6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068B-4C5D-A87B-C3231AF4D6CD}"/>
              </c:ext>
            </c:extLst>
          </c:dPt>
          <c:dPt>
            <c:idx val="92"/>
            <c:marker>
              <c:symbol val="circle"/>
              <c:size val="6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068B-4C5D-A87B-C3231AF4D6CD}"/>
              </c:ext>
            </c:extLst>
          </c:dPt>
          <c:dPt>
            <c:idx val="93"/>
            <c:marker>
              <c:symbol val="circle"/>
              <c:size val="6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068B-4C5D-A87B-C3231AF4D6CD}"/>
              </c:ext>
            </c:extLst>
          </c:dPt>
          <c:dPt>
            <c:idx val="94"/>
            <c:marker>
              <c:symbol val="circle"/>
              <c:size val="6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068B-4C5D-A87B-C3231AF4D6CD}"/>
              </c:ext>
            </c:extLst>
          </c:dPt>
          <c:dPt>
            <c:idx val="95"/>
            <c:marker>
              <c:symbol val="circle"/>
              <c:size val="6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068B-4C5D-A87B-C3231AF4D6CD}"/>
              </c:ext>
            </c:extLst>
          </c:dPt>
          <c:dPt>
            <c:idx val="96"/>
            <c:marker>
              <c:symbol val="circle"/>
              <c:size val="6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068B-4C5D-A87B-C3231AF4D6CD}"/>
              </c:ext>
            </c:extLst>
          </c:dPt>
          <c:dPt>
            <c:idx val="97"/>
            <c:marker>
              <c:symbol val="circle"/>
              <c:size val="6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068B-4C5D-A87B-C3231AF4D6CD}"/>
              </c:ext>
            </c:extLst>
          </c:dPt>
          <c:dPt>
            <c:idx val="98"/>
            <c:marker>
              <c:symbol val="circle"/>
              <c:size val="6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068B-4C5D-A87B-C3231AF4D6CD}"/>
              </c:ext>
            </c:extLst>
          </c:dPt>
          <c:dPt>
            <c:idx val="99"/>
            <c:marker>
              <c:symbol val="circle"/>
              <c:size val="6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068B-4C5D-A87B-C3231AF4D6CD}"/>
              </c:ext>
            </c:extLst>
          </c:dPt>
          <c:dPt>
            <c:idx val="100"/>
            <c:marker>
              <c:symbol val="circle"/>
              <c:size val="6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068B-4C5D-A87B-C3231AF4D6CD}"/>
              </c:ext>
            </c:extLst>
          </c:dPt>
          <c:dPt>
            <c:idx val="101"/>
            <c:marker>
              <c:symbol val="circle"/>
              <c:size val="6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068B-4C5D-A87B-C3231AF4D6CD}"/>
              </c:ext>
            </c:extLst>
          </c:dPt>
          <c:dPt>
            <c:idx val="102"/>
            <c:marker>
              <c:symbol val="circle"/>
              <c:size val="6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068B-4C5D-A87B-C3231AF4D6CD}"/>
              </c:ext>
            </c:extLst>
          </c:dPt>
          <c:dPt>
            <c:idx val="103"/>
            <c:marker>
              <c:symbol val="circle"/>
              <c:size val="6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068B-4C5D-A87B-C3231AF4D6CD}"/>
              </c:ext>
            </c:extLst>
          </c:dPt>
          <c:dPt>
            <c:idx val="104"/>
            <c:marker>
              <c:symbol val="circle"/>
              <c:size val="6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068B-4C5D-A87B-C3231AF4D6CD}"/>
              </c:ext>
            </c:extLst>
          </c:dPt>
          <c:dPt>
            <c:idx val="105"/>
            <c:marker>
              <c:symbol val="circle"/>
              <c:size val="6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068B-4C5D-A87B-C3231AF4D6CD}"/>
              </c:ext>
            </c:extLst>
          </c:dPt>
          <c:dPt>
            <c:idx val="106"/>
            <c:marker>
              <c:symbol val="circle"/>
              <c:size val="6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068B-4C5D-A87B-C3231AF4D6CD}"/>
              </c:ext>
            </c:extLst>
          </c:dPt>
          <c:dPt>
            <c:idx val="107"/>
            <c:marker>
              <c:symbol val="circle"/>
              <c:size val="6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068B-4C5D-A87B-C3231AF4D6CD}"/>
              </c:ext>
            </c:extLst>
          </c:dPt>
          <c:dPt>
            <c:idx val="108"/>
            <c:marker>
              <c:symbol val="circle"/>
              <c:size val="6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068B-4C5D-A87B-C3231AF4D6CD}"/>
              </c:ext>
            </c:extLst>
          </c:dPt>
          <c:dPt>
            <c:idx val="109"/>
            <c:marker>
              <c:symbol val="circle"/>
              <c:size val="6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068B-4C5D-A87B-C3231AF4D6CD}"/>
              </c:ext>
            </c:extLst>
          </c:dPt>
          <c:dPt>
            <c:idx val="110"/>
            <c:marker>
              <c:symbol val="circle"/>
              <c:size val="6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068B-4C5D-A87B-C3231AF4D6CD}"/>
              </c:ext>
            </c:extLst>
          </c:dPt>
          <c:dPt>
            <c:idx val="111"/>
            <c:marker>
              <c:symbol val="circle"/>
              <c:size val="6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068B-4C5D-A87B-C3231AF4D6CD}"/>
              </c:ext>
            </c:extLst>
          </c:dPt>
          <c:dPt>
            <c:idx val="112"/>
            <c:marker>
              <c:symbol val="circle"/>
              <c:size val="6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068B-4C5D-A87B-C3231AF4D6CD}"/>
              </c:ext>
            </c:extLst>
          </c:dPt>
          <c:dPt>
            <c:idx val="113"/>
            <c:marker>
              <c:symbol val="circle"/>
              <c:size val="6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068B-4C5D-A87B-C3231AF4D6CD}"/>
              </c:ext>
            </c:extLst>
          </c:dPt>
          <c:dPt>
            <c:idx val="114"/>
            <c:marker>
              <c:symbol val="circle"/>
              <c:size val="6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068B-4C5D-A87B-C3231AF4D6CD}"/>
              </c:ext>
            </c:extLst>
          </c:dPt>
          <c:dPt>
            <c:idx val="115"/>
            <c:marker>
              <c:symbol val="circle"/>
              <c:size val="6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068B-4C5D-A87B-C3231AF4D6CD}"/>
              </c:ext>
            </c:extLst>
          </c:dPt>
          <c:dPt>
            <c:idx val="116"/>
            <c:marker>
              <c:symbol val="circle"/>
              <c:size val="6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068B-4C5D-A87B-C3231AF4D6CD}"/>
              </c:ext>
            </c:extLst>
          </c:dPt>
          <c:dPt>
            <c:idx val="117"/>
            <c:marker>
              <c:symbol val="circle"/>
              <c:size val="6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068B-4C5D-A87B-C3231AF4D6CD}"/>
              </c:ext>
            </c:extLst>
          </c:dPt>
          <c:dPt>
            <c:idx val="118"/>
            <c:marker>
              <c:symbol val="circle"/>
              <c:size val="6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068B-4C5D-A87B-C3231AF4D6CD}"/>
              </c:ext>
            </c:extLst>
          </c:dPt>
          <c:dPt>
            <c:idx val="119"/>
            <c:marker>
              <c:symbol val="circle"/>
              <c:size val="6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068B-4C5D-A87B-C3231AF4D6CD}"/>
              </c:ext>
            </c:extLst>
          </c:dPt>
          <c:dPt>
            <c:idx val="120"/>
            <c:marker>
              <c:symbol val="circle"/>
              <c:size val="6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068B-4C5D-A87B-C3231AF4D6CD}"/>
              </c:ext>
            </c:extLst>
          </c:dPt>
          <c:dPt>
            <c:idx val="121"/>
            <c:marker>
              <c:symbol val="circle"/>
              <c:size val="6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068B-4C5D-A87B-C3231AF4D6CD}"/>
              </c:ext>
            </c:extLst>
          </c:dPt>
          <c:dPt>
            <c:idx val="122"/>
            <c:marker>
              <c:symbol val="circle"/>
              <c:size val="6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068B-4C5D-A87B-C3231AF4D6CD}"/>
              </c:ext>
            </c:extLst>
          </c:dPt>
          <c:dPt>
            <c:idx val="123"/>
            <c:marker>
              <c:symbol val="circle"/>
              <c:size val="6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068B-4C5D-A87B-C3231AF4D6CD}"/>
              </c:ext>
            </c:extLst>
          </c:dPt>
          <c:dPt>
            <c:idx val="124"/>
            <c:marker>
              <c:symbol val="circle"/>
              <c:size val="6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068B-4C5D-A87B-C3231AF4D6CD}"/>
              </c:ext>
            </c:extLst>
          </c:dPt>
          <c:dPt>
            <c:idx val="125"/>
            <c:marker>
              <c:symbol val="circle"/>
              <c:size val="6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068B-4C5D-A87B-C3231AF4D6CD}"/>
              </c:ext>
            </c:extLst>
          </c:dPt>
          <c:dPt>
            <c:idx val="126"/>
            <c:marker>
              <c:symbol val="circle"/>
              <c:size val="6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068B-4C5D-A87B-C3231AF4D6CD}"/>
              </c:ext>
            </c:extLst>
          </c:dPt>
          <c:dPt>
            <c:idx val="127"/>
            <c:marker>
              <c:symbol val="circle"/>
              <c:size val="6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068B-4C5D-A87B-C3231AF4D6CD}"/>
              </c:ext>
            </c:extLst>
          </c:dPt>
          <c:dPt>
            <c:idx val="128"/>
            <c:marker>
              <c:symbol val="circle"/>
              <c:size val="6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068B-4C5D-A87B-C3231AF4D6CD}"/>
              </c:ext>
            </c:extLst>
          </c:dPt>
          <c:dPt>
            <c:idx val="129"/>
            <c:marker>
              <c:symbol val="circle"/>
              <c:size val="6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068B-4C5D-A87B-C3231AF4D6CD}"/>
              </c:ext>
            </c:extLst>
          </c:dPt>
          <c:dPt>
            <c:idx val="130"/>
            <c:marker>
              <c:symbol val="circle"/>
              <c:size val="6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068B-4C5D-A87B-C3231AF4D6CD}"/>
              </c:ext>
            </c:extLst>
          </c:dPt>
          <c:dPt>
            <c:idx val="131"/>
            <c:marker>
              <c:symbol val="circle"/>
              <c:size val="6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068B-4C5D-A87B-C3231AF4D6CD}"/>
              </c:ext>
            </c:extLst>
          </c:dPt>
          <c:dPt>
            <c:idx val="132"/>
            <c:marker>
              <c:symbol val="circle"/>
              <c:size val="6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068B-4C5D-A87B-C3231AF4D6CD}"/>
              </c:ext>
            </c:extLst>
          </c:dPt>
          <c:dPt>
            <c:idx val="133"/>
            <c:marker>
              <c:symbol val="circle"/>
              <c:size val="6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068B-4C5D-A87B-C3231AF4D6CD}"/>
              </c:ext>
            </c:extLst>
          </c:dPt>
          <c:dPt>
            <c:idx val="134"/>
            <c:marker>
              <c:symbol val="circle"/>
              <c:size val="6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068B-4C5D-A87B-C3231AF4D6CD}"/>
              </c:ext>
            </c:extLst>
          </c:dPt>
          <c:dPt>
            <c:idx val="135"/>
            <c:marker>
              <c:symbol val="circle"/>
              <c:size val="6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068B-4C5D-A87B-C3231AF4D6CD}"/>
              </c:ext>
            </c:extLst>
          </c:dPt>
          <c:dPt>
            <c:idx val="136"/>
            <c:marker>
              <c:symbol val="circle"/>
              <c:size val="6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068B-4C5D-A87B-C3231AF4D6CD}"/>
              </c:ext>
            </c:extLst>
          </c:dPt>
          <c:dPt>
            <c:idx val="137"/>
            <c:marker>
              <c:symbol val="circle"/>
              <c:size val="6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068B-4C5D-A87B-C3231AF4D6CD}"/>
              </c:ext>
            </c:extLst>
          </c:dPt>
          <c:dPt>
            <c:idx val="138"/>
            <c:marker>
              <c:symbol val="circle"/>
              <c:size val="6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068B-4C5D-A87B-C3231AF4D6CD}"/>
              </c:ext>
            </c:extLst>
          </c:dPt>
          <c:dPt>
            <c:idx val="139"/>
            <c:marker>
              <c:symbol val="circle"/>
              <c:size val="6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068B-4C5D-A87B-C3231AF4D6CD}"/>
              </c:ext>
            </c:extLst>
          </c:dPt>
          <c:dPt>
            <c:idx val="140"/>
            <c:marker>
              <c:symbol val="circle"/>
              <c:size val="6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068B-4C5D-A87B-C3231AF4D6CD}"/>
              </c:ext>
            </c:extLst>
          </c:dPt>
          <c:dPt>
            <c:idx val="141"/>
            <c:marker>
              <c:symbol val="circle"/>
              <c:size val="6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068B-4C5D-A87B-C3231AF4D6CD}"/>
              </c:ext>
            </c:extLst>
          </c:dPt>
          <c:dPt>
            <c:idx val="142"/>
            <c:marker>
              <c:symbol val="circle"/>
              <c:size val="6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068B-4C5D-A87B-C3231AF4D6CD}"/>
              </c:ext>
            </c:extLst>
          </c:dPt>
          <c:dPt>
            <c:idx val="143"/>
            <c:marker>
              <c:symbol val="circle"/>
              <c:size val="6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068B-4C5D-A87B-C3231AF4D6CD}"/>
              </c:ext>
            </c:extLst>
          </c:dPt>
          <c:dPt>
            <c:idx val="144"/>
            <c:marker>
              <c:symbol val="circle"/>
              <c:size val="6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068B-4C5D-A87B-C3231AF4D6CD}"/>
              </c:ext>
            </c:extLst>
          </c:dPt>
          <c:dPt>
            <c:idx val="145"/>
            <c:marker>
              <c:symbol val="circle"/>
              <c:size val="6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068B-4C5D-A87B-C3231AF4D6CD}"/>
              </c:ext>
            </c:extLst>
          </c:dPt>
          <c:dPt>
            <c:idx val="146"/>
            <c:marker>
              <c:symbol val="circle"/>
              <c:size val="6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068B-4C5D-A87B-C3231AF4D6CD}"/>
              </c:ext>
            </c:extLst>
          </c:dPt>
          <c:dPt>
            <c:idx val="147"/>
            <c:marker>
              <c:symbol val="circle"/>
              <c:size val="6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068B-4C5D-A87B-C3231AF4D6CD}"/>
              </c:ext>
            </c:extLst>
          </c:dPt>
          <c:dPt>
            <c:idx val="148"/>
            <c:marker>
              <c:symbol val="circle"/>
              <c:size val="6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068B-4C5D-A87B-C3231AF4D6CD}"/>
              </c:ext>
            </c:extLst>
          </c:dPt>
          <c:dPt>
            <c:idx val="149"/>
            <c:marker>
              <c:symbol val="circle"/>
              <c:size val="6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068B-4C5D-A87B-C3231AF4D6CD}"/>
              </c:ext>
            </c:extLst>
          </c:dPt>
          <c:dPt>
            <c:idx val="150"/>
            <c:marker>
              <c:symbol val="circle"/>
              <c:size val="6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068B-4C5D-A87B-C3231AF4D6CD}"/>
              </c:ext>
            </c:extLst>
          </c:dPt>
          <c:dPt>
            <c:idx val="151"/>
            <c:marker>
              <c:symbol val="circle"/>
              <c:size val="6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068B-4C5D-A87B-C3231AF4D6CD}"/>
              </c:ext>
            </c:extLst>
          </c:dPt>
          <c:dPt>
            <c:idx val="152"/>
            <c:marker>
              <c:symbol val="circle"/>
              <c:size val="6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068B-4C5D-A87B-C3231AF4D6CD}"/>
              </c:ext>
            </c:extLst>
          </c:dPt>
          <c:dPt>
            <c:idx val="153"/>
            <c:marker>
              <c:symbol val="circle"/>
              <c:size val="6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068B-4C5D-A87B-C3231AF4D6CD}"/>
              </c:ext>
            </c:extLst>
          </c:dPt>
          <c:dPt>
            <c:idx val="154"/>
            <c:marker>
              <c:symbol val="circle"/>
              <c:size val="6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068B-4C5D-A87B-C3231AF4D6CD}"/>
              </c:ext>
            </c:extLst>
          </c:dPt>
          <c:dPt>
            <c:idx val="155"/>
            <c:marker>
              <c:symbol val="circle"/>
              <c:size val="6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068B-4C5D-A87B-C3231AF4D6CD}"/>
              </c:ext>
            </c:extLst>
          </c:dPt>
          <c:dPt>
            <c:idx val="156"/>
            <c:marker>
              <c:symbol val="circle"/>
              <c:size val="6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068B-4C5D-A87B-C3231AF4D6CD}"/>
              </c:ext>
            </c:extLst>
          </c:dPt>
          <c:dPt>
            <c:idx val="157"/>
            <c:marker>
              <c:symbol val="circle"/>
              <c:size val="6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068B-4C5D-A87B-C3231AF4D6CD}"/>
              </c:ext>
            </c:extLst>
          </c:dPt>
          <c:dPt>
            <c:idx val="158"/>
            <c:marker>
              <c:symbol val="circle"/>
              <c:size val="6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068B-4C5D-A87B-C3231AF4D6CD}"/>
              </c:ext>
            </c:extLst>
          </c:dPt>
          <c:dPt>
            <c:idx val="159"/>
            <c:marker>
              <c:symbol val="circle"/>
              <c:size val="6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068B-4C5D-A87B-C3231AF4D6CD}"/>
              </c:ext>
            </c:extLst>
          </c:dPt>
          <c:dPt>
            <c:idx val="160"/>
            <c:marker>
              <c:symbol val="circle"/>
              <c:size val="6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068B-4C5D-A87B-C3231AF4D6CD}"/>
              </c:ext>
            </c:extLst>
          </c:dPt>
          <c:dPt>
            <c:idx val="161"/>
            <c:marker>
              <c:symbol val="circle"/>
              <c:size val="6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068B-4C5D-A87B-C3231AF4D6CD}"/>
              </c:ext>
            </c:extLst>
          </c:dPt>
          <c:dPt>
            <c:idx val="162"/>
            <c:marker>
              <c:symbol val="circle"/>
              <c:size val="6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068B-4C5D-A87B-C3231AF4D6CD}"/>
              </c:ext>
            </c:extLst>
          </c:dPt>
          <c:dPt>
            <c:idx val="163"/>
            <c:marker>
              <c:symbol val="circle"/>
              <c:size val="6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068B-4C5D-A87B-C3231AF4D6CD}"/>
              </c:ext>
            </c:extLst>
          </c:dPt>
          <c:dPt>
            <c:idx val="164"/>
            <c:marker>
              <c:symbol val="circle"/>
              <c:size val="6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068B-4C5D-A87B-C3231AF4D6CD}"/>
              </c:ext>
            </c:extLst>
          </c:dPt>
          <c:dPt>
            <c:idx val="165"/>
            <c:marker>
              <c:symbol val="circle"/>
              <c:size val="6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068B-4C5D-A87B-C3231AF4D6CD}"/>
              </c:ext>
            </c:extLst>
          </c:dPt>
          <c:dPt>
            <c:idx val="166"/>
            <c:marker>
              <c:symbol val="circle"/>
              <c:size val="6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068B-4C5D-A87B-C3231AF4D6CD}"/>
              </c:ext>
            </c:extLst>
          </c:dPt>
          <c:dPt>
            <c:idx val="167"/>
            <c:marker>
              <c:symbol val="circle"/>
              <c:size val="6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068B-4C5D-A87B-C3231AF4D6CD}"/>
              </c:ext>
            </c:extLst>
          </c:dPt>
          <c:dPt>
            <c:idx val="168"/>
            <c:marker>
              <c:symbol val="circle"/>
              <c:size val="6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068B-4C5D-A87B-C3231AF4D6CD}"/>
              </c:ext>
            </c:extLst>
          </c:dPt>
          <c:dPt>
            <c:idx val="169"/>
            <c:marker>
              <c:symbol val="circle"/>
              <c:size val="6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068B-4C5D-A87B-C3231AF4D6CD}"/>
              </c:ext>
            </c:extLst>
          </c:dPt>
          <c:dPt>
            <c:idx val="170"/>
            <c:marker>
              <c:symbol val="circle"/>
              <c:size val="6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068B-4C5D-A87B-C3231AF4D6CD}"/>
              </c:ext>
            </c:extLst>
          </c:dPt>
          <c:dPt>
            <c:idx val="171"/>
            <c:marker>
              <c:symbol val="circle"/>
              <c:size val="6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068B-4C5D-A87B-C3231AF4D6CD}"/>
              </c:ext>
            </c:extLst>
          </c:dPt>
          <c:dPt>
            <c:idx val="172"/>
            <c:marker>
              <c:symbol val="circle"/>
              <c:size val="6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068B-4C5D-A87B-C3231AF4D6CD}"/>
              </c:ext>
            </c:extLst>
          </c:dPt>
          <c:dPt>
            <c:idx val="173"/>
            <c:marker>
              <c:symbol val="circle"/>
              <c:size val="6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068B-4C5D-A87B-C3231AF4D6CD}"/>
              </c:ext>
            </c:extLst>
          </c:dPt>
          <c:dPt>
            <c:idx val="174"/>
            <c:marker>
              <c:symbol val="circle"/>
              <c:size val="6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068B-4C5D-A87B-C3231AF4D6CD}"/>
              </c:ext>
            </c:extLst>
          </c:dPt>
          <c:dPt>
            <c:idx val="175"/>
            <c:marker>
              <c:symbol val="circle"/>
              <c:size val="6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068B-4C5D-A87B-C3231AF4D6CD}"/>
              </c:ext>
            </c:extLst>
          </c:dPt>
          <c:dPt>
            <c:idx val="176"/>
            <c:marker>
              <c:symbol val="circle"/>
              <c:size val="6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068B-4C5D-A87B-C3231AF4D6CD}"/>
              </c:ext>
            </c:extLst>
          </c:dPt>
          <c:dPt>
            <c:idx val="177"/>
            <c:marker>
              <c:symbol val="circle"/>
              <c:size val="6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068B-4C5D-A87B-C3231AF4D6CD}"/>
              </c:ext>
            </c:extLst>
          </c:dPt>
          <c:dPt>
            <c:idx val="178"/>
            <c:marker>
              <c:symbol val="circle"/>
              <c:size val="6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068B-4C5D-A87B-C3231AF4D6CD}"/>
              </c:ext>
            </c:extLst>
          </c:dPt>
          <c:xVal>
            <c:numRef>
              <c:f>Combined!$A$2:$A$180</c:f>
              <c:numCache>
                <c:formatCode>General</c:formatCode>
                <c:ptCount val="179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  <c:pt idx="60">
                  <c:v>-3.7838298576719716</c:v>
                </c:pt>
                <c:pt idx="61">
                  <c:v>-3.8131443894951689</c:v>
                </c:pt>
                <c:pt idx="62">
                  <c:v>-3.8607860285616491</c:v>
                </c:pt>
                <c:pt idx="63">
                  <c:v>-3.9188112700790674</c:v>
                </c:pt>
                <c:pt idx="64">
                  <c:v>-3.984840869706582</c:v>
                </c:pt>
                <c:pt idx="65">
                  <c:v>-4.0432970496456226</c:v>
                </c:pt>
                <c:pt idx="66">
                  <c:v>-4.065907289894918</c:v>
                </c:pt>
                <c:pt idx="67">
                  <c:v>-4.0233336052813238</c:v>
                </c:pt>
                <c:pt idx="68">
                  <c:v>-3.954967524428544</c:v>
                </c:pt>
                <c:pt idx="69">
                  <c:v>-3.950256108551446</c:v>
                </c:pt>
                <c:pt idx="70">
                  <c:v>-3.8233531323330587</c:v>
                </c:pt>
                <c:pt idx="71">
                  <c:v>-3.6497655924563128</c:v>
                </c:pt>
                <c:pt idx="72">
                  <c:v>-3.4461445173873235</c:v>
                </c:pt>
                <c:pt idx="73">
                  <c:v>-3.2849174790861473</c:v>
                </c:pt>
                <c:pt idx="74">
                  <c:v>-3.2656997826731424</c:v>
                </c:pt>
                <c:pt idx="75">
                  <c:v>-3.5179880430728394</c:v>
                </c:pt>
                <c:pt idx="76">
                  <c:v>-3.8771037630609366</c:v>
                </c:pt>
                <c:pt idx="77">
                  <c:v>-4.1962096457683877</c:v>
                </c:pt>
                <c:pt idx="78">
                  <c:v>-4.5051261072132762</c:v>
                </c:pt>
                <c:pt idx="79">
                  <c:v>-4.4906430711018501</c:v>
                </c:pt>
                <c:pt idx="80">
                  <c:v>-4.4970181253158028</c:v>
                </c:pt>
                <c:pt idx="81">
                  <c:v>-4.5589589277907203</c:v>
                </c:pt>
                <c:pt idx="82">
                  <c:v>-4.5434320722488533</c:v>
                </c:pt>
                <c:pt idx="83">
                  <c:v>-4.6062746151618601</c:v>
                </c:pt>
                <c:pt idx="84">
                  <c:v>-4.6998745641485895</c:v>
                </c:pt>
                <c:pt idx="85">
                  <c:v>-4.7222737547462943</c:v>
                </c:pt>
                <c:pt idx="86">
                  <c:v>-4.7303815648589707</c:v>
                </c:pt>
                <c:pt idx="87">
                  <c:v>-4.8020920119080248</c:v>
                </c:pt>
                <c:pt idx="88">
                  <c:v>-4.8102518205416853</c:v>
                </c:pt>
                <c:pt idx="89">
                  <c:v>-4.8267938702636313</c:v>
                </c:pt>
                <c:pt idx="90">
                  <c:v>-4.8497132283936359</c:v>
                </c:pt>
                <c:pt idx="91">
                  <c:v>-5.0467239302723588</c:v>
                </c:pt>
                <c:pt idx="92">
                  <c:v>-5.1203544869356357</c:v>
                </c:pt>
                <c:pt idx="93">
                  <c:v>-5.1459233859640356</c:v>
                </c:pt>
                <c:pt idx="94">
                  <c:v>-5.2146642956777924</c:v>
                </c:pt>
                <c:pt idx="95">
                  <c:v>-5.2130888285899122</c:v>
                </c:pt>
                <c:pt idx="96">
                  <c:v>-5.2741648427603014</c:v>
                </c:pt>
                <c:pt idx="97">
                  <c:v>-5.3181135022530484</c:v>
                </c:pt>
                <c:pt idx="98">
                  <c:v>-5.3457050919740539</c:v>
                </c:pt>
                <c:pt idx="99">
                  <c:v>-5.4198006421718947</c:v>
                </c:pt>
                <c:pt idx="100">
                  <c:v>-5.4735906878860536</c:v>
                </c:pt>
                <c:pt idx="101">
                  <c:v>-5.5325448429423867</c:v>
                </c:pt>
                <c:pt idx="102">
                  <c:v>-5.5927440194246358</c:v>
                </c:pt>
                <c:pt idx="103">
                  <c:v>-5.6641568434297769</c:v>
                </c:pt>
                <c:pt idx="104">
                  <c:v>-5.7421790179141903</c:v>
                </c:pt>
                <c:pt idx="105">
                  <c:v>-5.7757422567665415</c:v>
                </c:pt>
                <c:pt idx="106">
                  <c:v>-5.8411205688658656</c:v>
                </c:pt>
                <c:pt idx="107">
                  <c:v>-5.9738103098756348</c:v>
                </c:pt>
                <c:pt idx="108">
                  <c:v>-6.010756249765997</c:v>
                </c:pt>
                <c:pt idx="109">
                  <c:v>-5.9947201110747663</c:v>
                </c:pt>
                <c:pt idx="110">
                  <c:v>-5.9770611031010308</c:v>
                </c:pt>
                <c:pt idx="111">
                  <c:v>-5.9594169450661285</c:v>
                </c:pt>
                <c:pt idx="112">
                  <c:v>-5.9477151568154767</c:v>
                </c:pt>
                <c:pt idx="113">
                  <c:v>-5.9412621628107196</c:v>
                </c:pt>
                <c:pt idx="114">
                  <c:v>-5.9367473060387104</c:v>
                </c:pt>
                <c:pt idx="115">
                  <c:v>-5.9327924267352463</c:v>
                </c:pt>
                <c:pt idx="116">
                  <c:v>-5.9311845947123718</c:v>
                </c:pt>
                <c:pt idx="117">
                  <c:v>-5.9316513288312134</c:v>
                </c:pt>
                <c:pt idx="118">
                  <c:v>-5.9642966332241594</c:v>
                </c:pt>
                <c:pt idx="119">
                  <c:v>-6.173663857190185</c:v>
                </c:pt>
                <c:pt idx="120">
                  <c:v>-6.3462792995071062</c:v>
                </c:pt>
                <c:pt idx="121">
                  <c:v>-6.5060855474357799</c:v>
                </c:pt>
                <c:pt idx="122">
                  <c:v>-6.642353847965409</c:v>
                </c:pt>
                <c:pt idx="123">
                  <c:v>-6.8081637703669227</c:v>
                </c:pt>
                <c:pt idx="124">
                  <c:v>-6.95688219084371</c:v>
                </c:pt>
                <c:pt idx="125">
                  <c:v>-7.0291302128025519</c:v>
                </c:pt>
                <c:pt idx="126">
                  <c:v>-7.1075655614317164</c:v>
                </c:pt>
                <c:pt idx="127">
                  <c:v>-7.196449625628798</c:v>
                </c:pt>
                <c:pt idx="128">
                  <c:v>-7.3793842013848252</c:v>
                </c:pt>
                <c:pt idx="129">
                  <c:v>-7.524612153419989</c:v>
                </c:pt>
                <c:pt idx="130">
                  <c:v>-7.4950970739921878</c:v>
                </c:pt>
                <c:pt idx="131">
                  <c:v>-7.5009471189238788</c:v>
                </c:pt>
                <c:pt idx="132">
                  <c:v>-7.4255048394966501</c:v>
                </c:pt>
                <c:pt idx="133">
                  <c:v>-7.3595931872289286</c:v>
                </c:pt>
                <c:pt idx="134">
                  <c:v>-7.544358000322843</c:v>
                </c:pt>
                <c:pt idx="135">
                  <c:v>-7.8311787282194478</c:v>
                </c:pt>
                <c:pt idx="136">
                  <c:v>-7.9649374559350798</c:v>
                </c:pt>
                <c:pt idx="137">
                  <c:v>-7.9043198586135475</c:v>
                </c:pt>
                <c:pt idx="138">
                  <c:v>-7.8295478674430221</c:v>
                </c:pt>
                <c:pt idx="139">
                  <c:v>-7.3188983630736786</c:v>
                </c:pt>
                <c:pt idx="140">
                  <c:v>-7.0055201736597521</c:v>
                </c:pt>
                <c:pt idx="141">
                  <c:v>-6.6323817839237389</c:v>
                </c:pt>
                <c:pt idx="142">
                  <c:v>-6.2117835280822948</c:v>
                </c:pt>
                <c:pt idx="143">
                  <c:v>-6.7834318816123069</c:v>
                </c:pt>
                <c:pt idx="144">
                  <c:v>-7.0965479736732435</c:v>
                </c:pt>
                <c:pt idx="145">
                  <c:v>-7.0097378403216188</c:v>
                </c:pt>
                <c:pt idx="146">
                  <c:v>-6.5680696682567588</c:v>
                </c:pt>
                <c:pt idx="147">
                  <c:v>-6.1459035296846469</c:v>
                </c:pt>
                <c:pt idx="148">
                  <c:v>-5.699509349937717</c:v>
                </c:pt>
                <c:pt idx="149">
                  <c:v>-5.2451429916010559</c:v>
                </c:pt>
                <c:pt idx="150">
                  <c:v>-4.7261141622650147</c:v>
                </c:pt>
                <c:pt idx="151">
                  <c:v>-4.7306106178800551</c:v>
                </c:pt>
                <c:pt idx="152">
                  <c:v>-4.7270318877814956</c:v>
                </c:pt>
                <c:pt idx="153">
                  <c:v>-4.7296928923635768</c:v>
                </c:pt>
                <c:pt idx="154">
                  <c:v>-4.727949613297973</c:v>
                </c:pt>
                <c:pt idx="155">
                  <c:v>-4.7287751668470985</c:v>
                </c:pt>
                <c:pt idx="156">
                  <c:v>-4.7288673388144531</c:v>
                </c:pt>
                <c:pt idx="157">
                  <c:v>-4.7278574413306185</c:v>
                </c:pt>
                <c:pt idx="158">
                  <c:v>-4.7297850643309314</c:v>
                </c:pt>
                <c:pt idx="159">
                  <c:v>-4.7269397158141429</c:v>
                </c:pt>
                <c:pt idx="160">
                  <c:v>-4.7307027898474105</c:v>
                </c:pt>
                <c:pt idx="161">
                  <c:v>-4.7260219902976166</c:v>
                </c:pt>
                <c:pt idx="162">
                  <c:v>-4.7309611191574819</c:v>
                </c:pt>
                <c:pt idx="163">
                  <c:v>-4.7266813865041311</c:v>
                </c:pt>
                <c:pt idx="164">
                  <c:v>-4.7300433936408783</c:v>
                </c:pt>
                <c:pt idx="165">
                  <c:v>-4.727599112020739</c:v>
                </c:pt>
                <c:pt idx="166">
                  <c:v>-4.7291256681242713</c:v>
                </c:pt>
                <c:pt idx="167">
                  <c:v>-4.7285168375373425</c:v>
                </c:pt>
                <c:pt idx="168">
                  <c:v>-4.7282079426076606</c:v>
                </c:pt>
                <c:pt idx="169">
                  <c:v>-4.729434563053954</c:v>
                </c:pt>
                <c:pt idx="170">
                  <c:v>-4.8262488355298254</c:v>
                </c:pt>
                <c:pt idx="171">
                  <c:v>-5.0669446160444629</c:v>
                </c:pt>
                <c:pt idx="172">
                  <c:v>-4.7974044527719046</c:v>
                </c:pt>
                <c:pt idx="173">
                  <c:v>-4.2853790297980385</c:v>
                </c:pt>
                <c:pt idx="174">
                  <c:v>-3.6961647654295051</c:v>
                </c:pt>
                <c:pt idx="175">
                  <c:v>-3.0706497404665223</c:v>
                </c:pt>
                <c:pt idx="176">
                  <c:v>-2.8077231344722966</c:v>
                </c:pt>
                <c:pt idx="177">
                  <c:v>-2.074784656018227</c:v>
                </c:pt>
                <c:pt idx="178">
                  <c:v>-1.764511022728896</c:v>
                </c:pt>
              </c:numCache>
            </c:numRef>
          </c:xVal>
          <c:yVal>
            <c:numRef>
              <c:f>Combined!$C$2:$C$180</c:f>
              <c:numCache>
                <c:formatCode>General</c:formatCode>
                <c:ptCount val="179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  <c:pt idx="60">
                  <c:v>0.46405775722723652</c:v>
                </c:pt>
                <c:pt idx="61">
                  <c:v>1.2383259323481755</c:v>
                </c:pt>
                <c:pt idx="62">
                  <c:v>2.0023783915429614</c:v>
                </c:pt>
                <c:pt idx="63">
                  <c:v>2.7626295603015825</c:v>
                </c:pt>
                <c:pt idx="64">
                  <c:v>3.5163084260374329</c:v>
                </c:pt>
                <c:pt idx="65">
                  <c:v>4.2569094285887017</c:v>
                </c:pt>
                <c:pt idx="66">
                  <c:v>5.0097597941938918</c:v>
                </c:pt>
                <c:pt idx="67">
                  <c:v>5.760751110056102</c:v>
                </c:pt>
                <c:pt idx="68">
                  <c:v>6.5317115610237879</c:v>
                </c:pt>
                <c:pt idx="69">
                  <c:v>7.2419962744591588</c:v>
                </c:pt>
                <c:pt idx="70">
                  <c:v>7.9751118795383844</c:v>
                </c:pt>
                <c:pt idx="71">
                  <c:v>8.7127470155278743</c:v>
                </c:pt>
                <c:pt idx="72">
                  <c:v>9.4577444588077899</c:v>
                </c:pt>
                <c:pt idx="73">
                  <c:v>10.216994920510437</c:v>
                </c:pt>
                <c:pt idx="74">
                  <c:v>10.972750496085112</c:v>
                </c:pt>
                <c:pt idx="75">
                  <c:v>11.539361853505397</c:v>
                </c:pt>
                <c:pt idx="76">
                  <c:v>11.696668914516664</c:v>
                </c:pt>
                <c:pt idx="77">
                  <c:v>11.788382676882955</c:v>
                </c:pt>
                <c:pt idx="78">
                  <c:v>12.146503985500914</c:v>
                </c:pt>
                <c:pt idx="79">
                  <c:v>12.914137580081288</c:v>
                </c:pt>
                <c:pt idx="80">
                  <c:v>13.669010295363153</c:v>
                </c:pt>
                <c:pt idx="81">
                  <c:v>14.254679946403305</c:v>
                </c:pt>
                <c:pt idx="82">
                  <c:v>14.974123889630617</c:v>
                </c:pt>
                <c:pt idx="83">
                  <c:v>15.669907904564305</c:v>
                </c:pt>
                <c:pt idx="84">
                  <c:v>16.334304863878202</c:v>
                </c:pt>
                <c:pt idx="85">
                  <c:v>17.061308667252284</c:v>
                </c:pt>
                <c:pt idx="86">
                  <c:v>17.798645612345101</c:v>
                </c:pt>
                <c:pt idx="87">
                  <c:v>18.462487983004216</c:v>
                </c:pt>
                <c:pt idx="88">
                  <c:v>19.204428205005705</c:v>
                </c:pt>
                <c:pt idx="89">
                  <c:v>19.939402611703152</c:v>
                </c:pt>
                <c:pt idx="90">
                  <c:v>20.671427755701853</c:v>
                </c:pt>
                <c:pt idx="91">
                  <c:v>21.201062291768604</c:v>
                </c:pt>
                <c:pt idx="92">
                  <c:v>21.876834397102073</c:v>
                </c:pt>
                <c:pt idx="93">
                  <c:v>22.591225555805668</c:v>
                </c:pt>
                <c:pt idx="94">
                  <c:v>23.2765562136989</c:v>
                </c:pt>
                <c:pt idx="95">
                  <c:v>23.986575784782481</c:v>
                </c:pt>
                <c:pt idx="96">
                  <c:v>24.631818081052621</c:v>
                </c:pt>
                <c:pt idx="97">
                  <c:v>25.295330317473656</c:v>
                </c:pt>
                <c:pt idx="98">
                  <c:v>25.972200736383797</c:v>
                </c:pt>
                <c:pt idx="99">
                  <c:v>26.605783957972243</c:v>
                </c:pt>
                <c:pt idx="100">
                  <c:v>27.258429402232562</c:v>
                </c:pt>
                <c:pt idx="101">
                  <c:v>27.908508649874477</c:v>
                </c:pt>
                <c:pt idx="102">
                  <c:v>28.55828522335004</c:v>
                </c:pt>
                <c:pt idx="103">
                  <c:v>29.193870839981329</c:v>
                </c:pt>
                <c:pt idx="104">
                  <c:v>29.823297273914132</c:v>
                </c:pt>
                <c:pt idx="105">
                  <c:v>30.512990696707011</c:v>
                </c:pt>
                <c:pt idx="106">
                  <c:v>31.162703957516307</c:v>
                </c:pt>
                <c:pt idx="107">
                  <c:v>31.676345986702412</c:v>
                </c:pt>
                <c:pt idx="108">
                  <c:v>32.226251494694381</c:v>
                </c:pt>
                <c:pt idx="109">
                  <c:v>32.797553259187204</c:v>
                </c:pt>
                <c:pt idx="110">
                  <c:v>33.357480316598682</c:v>
                </c:pt>
                <c:pt idx="111">
                  <c:v>33.916727207393585</c:v>
                </c:pt>
                <c:pt idx="112">
                  <c:v>34.450674708972414</c:v>
                </c:pt>
                <c:pt idx="113">
                  <c:v>34.95216197402894</c:v>
                </c:pt>
                <c:pt idx="114">
                  <c:v>35.432199401851207</c:v>
                </c:pt>
                <c:pt idx="115">
                  <c:v>35.91416396456723</c:v>
                </c:pt>
                <c:pt idx="116">
                  <c:v>36.347404376863757</c:v>
                </c:pt>
                <c:pt idx="117">
                  <c:v>36.718456512941579</c:v>
                </c:pt>
                <c:pt idx="118">
                  <c:v>36.9570051349925</c:v>
                </c:pt>
                <c:pt idx="119">
                  <c:v>36.891185867610552</c:v>
                </c:pt>
                <c:pt idx="120">
                  <c:v>35.679174033353391</c:v>
                </c:pt>
                <c:pt idx="121">
                  <c:v>34.182800325781386</c:v>
                </c:pt>
                <c:pt idx="122">
                  <c:v>32.66652726028137</c:v>
                </c:pt>
                <c:pt idx="123">
                  <c:v>31.187377128431045</c:v>
                </c:pt>
                <c:pt idx="124">
                  <c:v>29.762643536734473</c:v>
                </c:pt>
                <c:pt idx="125">
                  <c:v>28.230186513193136</c:v>
                </c:pt>
                <c:pt idx="126">
                  <c:v>26.70299918479666</c:v>
                </c:pt>
                <c:pt idx="127">
                  <c:v>25.195434680425393</c:v>
                </c:pt>
                <c:pt idx="128">
                  <c:v>24.216095462323594</c:v>
                </c:pt>
                <c:pt idx="129">
                  <c:v>23.070206504966087</c:v>
                </c:pt>
                <c:pt idx="130">
                  <c:v>21.536587418236536</c:v>
                </c:pt>
                <c:pt idx="131">
                  <c:v>19.997950871973938</c:v>
                </c:pt>
                <c:pt idx="132">
                  <c:v>18.451548093460577</c:v>
                </c:pt>
                <c:pt idx="133">
                  <c:v>16.919705250272518</c:v>
                </c:pt>
                <c:pt idx="134">
                  <c:v>16.844340690943806</c:v>
                </c:pt>
                <c:pt idx="135">
                  <c:v>17.704465341732721</c:v>
                </c:pt>
                <c:pt idx="136">
                  <c:v>18.191016314732337</c:v>
                </c:pt>
                <c:pt idx="137">
                  <c:v>17.173508617662741</c:v>
                </c:pt>
                <c:pt idx="138">
                  <c:v>15.685753586041667</c:v>
                </c:pt>
                <c:pt idx="139">
                  <c:v>14.275044141228747</c:v>
                </c:pt>
                <c:pt idx="140">
                  <c:v>12.774336706039614</c:v>
                </c:pt>
                <c:pt idx="141">
                  <c:v>11.335703035899147</c:v>
                </c:pt>
                <c:pt idx="142">
                  <c:v>10.063824806927144</c:v>
                </c:pt>
                <c:pt idx="143">
                  <c:v>10.754707502887436</c:v>
                </c:pt>
                <c:pt idx="144">
                  <c:v>11.201049377494256</c:v>
                </c:pt>
                <c:pt idx="145">
                  <c:v>10.525611101847611</c:v>
                </c:pt>
                <c:pt idx="146">
                  <c:v>9.0555807851379342</c:v>
                </c:pt>
                <c:pt idx="147">
                  <c:v>7.5758152995255568</c:v>
                </c:pt>
                <c:pt idx="148">
                  <c:v>6.2093984452955331</c:v>
                </c:pt>
                <c:pt idx="149">
                  <c:v>4.9824187477082731</c:v>
                </c:pt>
                <c:pt idx="150">
                  <c:v>4.1558311105980463</c:v>
                </c:pt>
                <c:pt idx="151">
                  <c:v>4.1782940517016698</c:v>
                </c:pt>
                <c:pt idx="152">
                  <c:v>4.1604157915091697</c:v>
                </c:pt>
                <c:pt idx="153">
                  <c:v>4.1737093707905579</c:v>
                </c:pt>
                <c:pt idx="154">
                  <c:v>4.1650004724202816</c:v>
                </c:pt>
                <c:pt idx="155">
                  <c:v>4.1691246898794398</c:v>
                </c:pt>
                <c:pt idx="156">
                  <c:v>4.1695851533314006</c:v>
                </c:pt>
                <c:pt idx="157">
                  <c:v>4.1645400089683218</c:v>
                </c:pt>
                <c:pt idx="158">
                  <c:v>4.1741698342425178</c:v>
                </c:pt>
                <c:pt idx="159">
                  <c:v>4.159955328057217</c:v>
                </c:pt>
                <c:pt idx="160">
                  <c:v>4.1787545151536358</c:v>
                </c:pt>
                <c:pt idx="161">
                  <c:v>4.1553706471458653</c:v>
                </c:pt>
                <c:pt idx="162">
                  <c:v>4.180045050760854</c:v>
                </c:pt>
                <c:pt idx="163">
                  <c:v>4.1586647924503044</c:v>
                </c:pt>
                <c:pt idx="164">
                  <c:v>4.1754603698491115</c:v>
                </c:pt>
                <c:pt idx="165">
                  <c:v>4.1632494733620602</c:v>
                </c:pt>
                <c:pt idx="166">
                  <c:v>4.1708756889373557</c:v>
                </c:pt>
                <c:pt idx="167">
                  <c:v>4.1678341542738035</c:v>
                </c:pt>
                <c:pt idx="168">
                  <c:v>4.1662910080255759</c:v>
                </c:pt>
                <c:pt idx="169">
                  <c:v>4.1724188351855833</c:v>
                </c:pt>
                <c:pt idx="170">
                  <c:v>4.1776919099424896</c:v>
                </c:pt>
                <c:pt idx="171">
                  <c:v>4.2838897804588001</c:v>
                </c:pt>
                <c:pt idx="172">
                  <c:v>3.9554600631995571</c:v>
                </c:pt>
                <c:pt idx="173">
                  <c:v>2.5193070321776938</c:v>
                </c:pt>
                <c:pt idx="174">
                  <c:v>1.2077093603054774</c:v>
                </c:pt>
                <c:pt idx="175">
                  <c:v>0.1095106650423701</c:v>
                </c:pt>
                <c:pt idx="176">
                  <c:v>-1.0459082041578225</c:v>
                </c:pt>
                <c:pt idx="177">
                  <c:v>-1.901553113980615</c:v>
                </c:pt>
                <c:pt idx="178">
                  <c:v>-3.3652014668132231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C3A-430B-9463-E6DE35401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3" name="cht_Top">
          <a:extLst>
            <a:ext uri="{FF2B5EF4-FFF2-40B4-BE49-F238E27FC236}">
              <a16:creationId xmlns:a16="http://schemas.microsoft.com/office/drawing/2014/main" id="{EC96C5C8-604A-E97D-2240-92AFFA16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0</xdr:colOff>
      <xdr:row>26</xdr:row>
      <xdr:rowOff>0</xdr:rowOff>
    </xdr:to>
    <xdr:graphicFrame macro="">
      <xdr:nvGraphicFramePr>
        <xdr:cNvPr id="4" name="cht_side">
          <a:extLst>
            <a:ext uri="{FF2B5EF4-FFF2-40B4-BE49-F238E27FC236}">
              <a16:creationId xmlns:a16="http://schemas.microsoft.com/office/drawing/2014/main" id="{99821D00-467D-10CA-425B-333749174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27</xdr:row>
      <xdr:rowOff>0</xdr:rowOff>
    </xdr:from>
    <xdr:to>
      <xdr:col>16</xdr:col>
      <xdr:colOff>0</xdr:colOff>
      <xdr:row>42</xdr:row>
      <xdr:rowOff>0</xdr:rowOff>
    </xdr:to>
    <xdr:graphicFrame macro="">
      <xdr:nvGraphicFramePr>
        <xdr:cNvPr id="5" name="cht_back">
          <a:extLst>
            <a:ext uri="{FF2B5EF4-FFF2-40B4-BE49-F238E27FC236}">
              <a16:creationId xmlns:a16="http://schemas.microsoft.com/office/drawing/2014/main" id="{36FB01EC-455E-72B0-19EC-565121033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19050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33</xdr:row>
      <xdr:rowOff>0</xdr:rowOff>
    </xdr:to>
    <xdr:graphicFrame macro="">
      <xdr:nvGraphicFramePr>
        <xdr:cNvPr id="2" name="cht_top">
          <a:extLst>
            <a:ext uri="{FF2B5EF4-FFF2-40B4-BE49-F238E27FC236}">
              <a16:creationId xmlns:a16="http://schemas.microsoft.com/office/drawing/2014/main" id="{1D384ADA-7D0D-4283-9ACF-9902F67D5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0</xdr:colOff>
      <xdr:row>33</xdr:row>
      <xdr:rowOff>0</xdr:rowOff>
    </xdr:to>
    <xdr:graphicFrame macro="">
      <xdr:nvGraphicFramePr>
        <xdr:cNvPr id="3" name="cht_side">
          <a:extLst>
            <a:ext uri="{FF2B5EF4-FFF2-40B4-BE49-F238E27FC236}">
              <a16:creationId xmlns:a16="http://schemas.microsoft.com/office/drawing/2014/main" id="{76DD1C53-17E3-49FE-99FE-D81B097B8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16</xdr:col>
      <xdr:colOff>0</xdr:colOff>
      <xdr:row>54</xdr:row>
      <xdr:rowOff>0</xdr:rowOff>
    </xdr:to>
    <xdr:graphicFrame macro="">
      <xdr:nvGraphicFramePr>
        <xdr:cNvPr id="4" name="cht_back">
          <a:extLst>
            <a:ext uri="{FF2B5EF4-FFF2-40B4-BE49-F238E27FC236}">
              <a16:creationId xmlns:a16="http://schemas.microsoft.com/office/drawing/2014/main" id="{5B353648-7994-4E21-AC60-86F8043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0</xdr:rowOff>
        </xdr:from>
        <xdr:to>
          <xdr:col>3</xdr:col>
          <xdr:colOff>571500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11</xdr:col>
      <xdr:colOff>0</xdr:colOff>
      <xdr:row>26</xdr:row>
      <xdr:rowOff>0</xdr:rowOff>
    </xdr:to>
    <xdr:graphicFrame macro="">
      <xdr:nvGraphicFramePr>
        <xdr:cNvPr id="2" name="cht_Top">
          <a:extLst>
            <a:ext uri="{FF2B5EF4-FFF2-40B4-BE49-F238E27FC236}">
              <a16:creationId xmlns:a16="http://schemas.microsoft.com/office/drawing/2014/main" id="{918802B8-92F6-4BD2-B0A4-D0F588165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17</xdr:col>
      <xdr:colOff>0</xdr:colOff>
      <xdr:row>26</xdr:row>
      <xdr:rowOff>0</xdr:rowOff>
    </xdr:to>
    <xdr:graphicFrame macro="">
      <xdr:nvGraphicFramePr>
        <xdr:cNvPr id="3" name="cht_side">
          <a:extLst>
            <a:ext uri="{FF2B5EF4-FFF2-40B4-BE49-F238E27FC236}">
              <a16:creationId xmlns:a16="http://schemas.microsoft.com/office/drawing/2014/main" id="{ADCC61C0-8291-4D95-B46A-344E17F2D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11</xdr:col>
      <xdr:colOff>0</xdr:colOff>
      <xdr:row>42</xdr:row>
      <xdr:rowOff>0</xdr:rowOff>
    </xdr:to>
    <xdr:graphicFrame macro="">
      <xdr:nvGraphicFramePr>
        <xdr:cNvPr id="4" name="cht_back">
          <a:extLst>
            <a:ext uri="{FF2B5EF4-FFF2-40B4-BE49-F238E27FC236}">
              <a16:creationId xmlns:a16="http://schemas.microsoft.com/office/drawing/2014/main" id="{8621B77F-954A-4E9E-A923-85A064225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3ACCA-6E6A-42F7-B5A5-56AD77295851}">
  <sheetPr codeName="Sheet1"/>
  <dimension ref="A1:V61"/>
  <sheetViews>
    <sheetView workbookViewId="0">
      <pane ySplit="1" topLeftCell="A2" activePane="bottomLeft" state="frozen"/>
      <selection pane="bottomLeft" activeCell="A2" sqref="A2:A61"/>
    </sheetView>
  </sheetViews>
  <sheetFormatPr defaultRowHeight="15" x14ac:dyDescent="0.25"/>
  <cols>
    <col min="5" max="5" width="6" customWidth="1"/>
    <col min="10" max="10" width="2.28515625" customWidth="1"/>
  </cols>
  <sheetData>
    <row r="1" spans="1:22" x14ac:dyDescent="0.25">
      <c r="A1" s="1" t="s">
        <v>0</v>
      </c>
      <c r="B1" s="1" t="s">
        <v>1</v>
      </c>
      <c r="C1" s="1" t="s">
        <v>2</v>
      </c>
      <c r="E1" s="1" t="s">
        <v>3</v>
      </c>
      <c r="G1" s="1" t="s">
        <v>0</v>
      </c>
      <c r="H1" s="1" t="s">
        <v>1</v>
      </c>
      <c r="I1" s="1" t="s">
        <v>2</v>
      </c>
      <c r="J1" s="1"/>
      <c r="L1" s="76" t="s">
        <v>4</v>
      </c>
      <c r="M1" s="76"/>
      <c r="N1" s="76"/>
      <c r="O1" s="76"/>
      <c r="P1" s="76"/>
      <c r="Q1" s="76"/>
      <c r="R1" s="76"/>
      <c r="S1" s="76"/>
      <c r="T1" s="76"/>
      <c r="U1" s="76"/>
      <c r="V1" s="76"/>
    </row>
    <row r="2" spans="1:22" x14ac:dyDescent="0.25">
      <c r="A2">
        <v>-5.4443505280093181</v>
      </c>
      <c r="B2">
        <v>43.137755410174179</v>
      </c>
      <c r="C2">
        <v>-0.12240630138487089</v>
      </c>
      <c r="E2" s="2">
        <v>1</v>
      </c>
      <c r="G2" cm="1">
        <f t="array" ref="G2">INDEX(A$2:A$1048576,$E2)</f>
        <v>-5.4443505280093181</v>
      </c>
      <c r="H2" cm="1">
        <f t="array" ref="H2">INDEX(B$2:B$1048576,$E2)</f>
        <v>43.137755410174179</v>
      </c>
      <c r="I2" cm="1">
        <f t="array" ref="I2">INDEX(C$2:C$1048576,$E2)</f>
        <v>-0.12240630138487089</v>
      </c>
      <c r="K2" s="3">
        <v>66047</v>
      </c>
    </row>
    <row r="3" spans="1:22" x14ac:dyDescent="0.25">
      <c r="A3">
        <v>-7.1353780530979778</v>
      </c>
      <c r="B3">
        <v>42.740832898327675</v>
      </c>
      <c r="C3">
        <v>-9.9264211624937995E-2</v>
      </c>
      <c r="E3" s="2">
        <v>2</v>
      </c>
      <c r="G3" cm="1">
        <f t="array" ref="G3">INDEX(A$2:A$1048576,$E3)</f>
        <v>-7.1353780530979778</v>
      </c>
      <c r="H3" cm="1">
        <f t="array" ref="H3">INDEX(B$2:B$1048576,$E3)</f>
        <v>42.740832898327675</v>
      </c>
      <c r="I3" cm="1">
        <f t="array" ref="I3">INDEX(C$2:C$1048576,$E3)</f>
        <v>-9.9264211624937995E-2</v>
      </c>
      <c r="K3" s="78">
        <v>67583</v>
      </c>
    </row>
    <row r="4" spans="1:22" x14ac:dyDescent="0.25">
      <c r="A4">
        <v>-8.5146174512803192</v>
      </c>
      <c r="B4">
        <v>42.022079981841756</v>
      </c>
      <c r="C4">
        <v>0.33181015035350492</v>
      </c>
      <c r="E4" s="2">
        <v>3</v>
      </c>
      <c r="G4" cm="1">
        <f t="array" ref="G4">INDEX(A$2:A$1048576,$E4)</f>
        <v>-8.5146174512803192</v>
      </c>
      <c r="H4" cm="1">
        <f t="array" ref="H4">INDEX(B$2:B$1048576,$E4)</f>
        <v>42.022079981841756</v>
      </c>
      <c r="I4" cm="1">
        <f t="array" ref="I4">INDEX(C$2:C$1048576,$E4)</f>
        <v>0.33181015035350492</v>
      </c>
      <c r="K4" s="32">
        <v>69119</v>
      </c>
    </row>
    <row r="5" spans="1:22" x14ac:dyDescent="0.25">
      <c r="A5">
        <v>-9.9730038829199437</v>
      </c>
      <c r="B5">
        <v>41.208172091801124</v>
      </c>
      <c r="C5">
        <v>0.69182170503162732</v>
      </c>
      <c r="E5" s="2">
        <v>4</v>
      </c>
      <c r="G5" cm="1">
        <f t="array" ref="G5">INDEX(A$2:A$1048576,$E5)</f>
        <v>-9.9730038829199437</v>
      </c>
      <c r="H5" cm="1">
        <f t="array" ref="H5">INDEX(B$2:B$1048576,$E5)</f>
        <v>41.208172091801124</v>
      </c>
      <c r="I5" cm="1">
        <f t="array" ref="I5">INDEX(C$2:C$1048576,$E5)</f>
        <v>0.69182170503162732</v>
      </c>
      <c r="K5" s="79">
        <v>70655</v>
      </c>
    </row>
    <row r="6" spans="1:22" x14ac:dyDescent="0.25">
      <c r="A6">
        <v>-11.197368606667455</v>
      </c>
      <c r="B6">
        <v>40.227219203964587</v>
      </c>
      <c r="C6">
        <v>1.1235109621530039</v>
      </c>
      <c r="E6" s="2">
        <v>5</v>
      </c>
      <c r="G6" cm="1">
        <f t="array" ref="G6">INDEX(A$2:A$1048576,$E6)</f>
        <v>-11.197368606667455</v>
      </c>
      <c r="H6" cm="1">
        <f t="array" ref="H6">INDEX(B$2:B$1048576,$E6)</f>
        <v>40.227219203964587</v>
      </c>
      <c r="I6" cm="1">
        <f t="array" ref="I6">INDEX(C$2:C$1048576,$E6)</f>
        <v>1.1235109621530039</v>
      </c>
      <c r="K6" s="80">
        <v>72191</v>
      </c>
    </row>
    <row r="7" spans="1:22" x14ac:dyDescent="0.25">
      <c r="A7">
        <v>-11.965472985398307</v>
      </c>
      <c r="B7">
        <v>39.233130951069924</v>
      </c>
      <c r="C7">
        <v>1.0808799735296577</v>
      </c>
      <c r="E7" s="2">
        <v>6</v>
      </c>
      <c r="G7" cm="1">
        <f t="array" ref="G7">INDEX(A$2:A$1048576,$E7)</f>
        <v>-11.965472985398307</v>
      </c>
      <c r="H7" cm="1">
        <f t="array" ref="H7">INDEX(B$2:B$1048576,$E7)</f>
        <v>39.233130951069924</v>
      </c>
      <c r="I7" cm="1">
        <f t="array" ref="I7">INDEX(C$2:C$1048576,$E7)</f>
        <v>1.0808799735296577</v>
      </c>
      <c r="K7" s="33">
        <v>73727</v>
      </c>
    </row>
    <row r="8" spans="1:22" x14ac:dyDescent="0.25">
      <c r="A8">
        <v>-12.867062126070575</v>
      </c>
      <c r="B8">
        <v>38.094217772801265</v>
      </c>
      <c r="C8">
        <v>1.6373226274774186</v>
      </c>
      <c r="E8" s="2">
        <v>7</v>
      </c>
      <c r="G8" cm="1">
        <f t="array" ref="G8">INDEX(A$2:A$1048576,$E8)</f>
        <v>-12.867062126070575</v>
      </c>
      <c r="H8" cm="1">
        <f t="array" ref="H8">INDEX(B$2:B$1048576,$E8)</f>
        <v>38.094217772801265</v>
      </c>
      <c r="I8" cm="1">
        <f t="array" ref="I8">INDEX(C$2:C$1048576,$E8)</f>
        <v>1.6373226274774186</v>
      </c>
      <c r="K8" s="81">
        <v>75263</v>
      </c>
    </row>
    <row r="9" spans="1:22" x14ac:dyDescent="0.25">
      <c r="A9">
        <v>-13.121719426608642</v>
      </c>
      <c r="B9">
        <v>37.240561492809924</v>
      </c>
      <c r="C9">
        <v>3.186046237332711</v>
      </c>
      <c r="E9" s="2">
        <v>8</v>
      </c>
      <c r="G9" cm="1">
        <f t="array" ref="G9">INDEX(A$2:A$1048576,$E9)</f>
        <v>-13.121719426608642</v>
      </c>
      <c r="H9" cm="1">
        <f t="array" ref="H9">INDEX(B$2:B$1048576,$E9)</f>
        <v>37.240561492809924</v>
      </c>
      <c r="I9" cm="1">
        <f t="array" ref="I9">INDEX(C$2:C$1048576,$E9)</f>
        <v>3.186046237332711</v>
      </c>
      <c r="K9" s="34">
        <v>76799</v>
      </c>
    </row>
    <row r="10" spans="1:22" x14ac:dyDescent="0.25">
      <c r="A10">
        <v>-13.550543789547572</v>
      </c>
      <c r="B10">
        <v>35.852496866883868</v>
      </c>
      <c r="C10">
        <v>3.9758952749773346</v>
      </c>
      <c r="E10" s="2">
        <v>9</v>
      </c>
      <c r="G10" cm="1">
        <f t="array" ref="G10">INDEX(A$2:A$1048576,$E10)</f>
        <v>-13.550543789547572</v>
      </c>
      <c r="H10" cm="1">
        <f t="array" ref="H10">INDEX(B$2:B$1048576,$E10)</f>
        <v>35.852496866883868</v>
      </c>
      <c r="I10" cm="1">
        <f t="array" ref="I10">INDEX(C$2:C$1048576,$E10)</f>
        <v>3.9758952749773346</v>
      </c>
      <c r="K10" s="82">
        <v>78335</v>
      </c>
    </row>
    <row r="11" spans="1:22" x14ac:dyDescent="0.25">
      <c r="A11">
        <v>-14.076057886982552</v>
      </c>
      <c r="B11">
        <v>34.103547531106905</v>
      </c>
      <c r="C11">
        <v>4.4793079100282984</v>
      </c>
      <c r="E11" s="2">
        <v>10</v>
      </c>
      <c r="G11" cm="1">
        <f t="array" ref="G11">INDEX(A$2:A$1048576,$E11)</f>
        <v>-14.076057886982552</v>
      </c>
      <c r="H11" cm="1">
        <f t="array" ref="H11">INDEX(B$2:B$1048576,$E11)</f>
        <v>34.103547531106905</v>
      </c>
      <c r="I11" cm="1">
        <f t="array" ref="I11">INDEX(C$2:C$1048576,$E11)</f>
        <v>4.4793079100282984</v>
      </c>
      <c r="K11" s="83">
        <v>79871</v>
      </c>
    </row>
    <row r="12" spans="1:22" x14ac:dyDescent="0.25">
      <c r="A12">
        <v>-14.209838587667093</v>
      </c>
      <c r="B12">
        <v>32.35282742479869</v>
      </c>
      <c r="C12">
        <v>5.2798002626150282</v>
      </c>
      <c r="E12" s="2">
        <v>11</v>
      </c>
      <c r="G12" cm="1">
        <f t="array" ref="G12">INDEX(A$2:A$1048576,$E12)</f>
        <v>-14.209838587667093</v>
      </c>
      <c r="H12" cm="1">
        <f t="array" ref="H12">INDEX(B$2:B$1048576,$E12)</f>
        <v>32.35282742479869</v>
      </c>
      <c r="I12" cm="1">
        <f t="array" ref="I12">INDEX(C$2:C$1048576,$E12)</f>
        <v>5.2798002626150282</v>
      </c>
      <c r="K12" s="9">
        <v>81407</v>
      </c>
    </row>
    <row r="13" spans="1:22" x14ac:dyDescent="0.25">
      <c r="A13">
        <v>-14.012422462031118</v>
      </c>
      <c r="B13">
        <v>30.962659021357005</v>
      </c>
      <c r="C13">
        <v>6.4948580706499115</v>
      </c>
      <c r="E13" s="2">
        <v>12</v>
      </c>
      <c r="G13" cm="1">
        <f t="array" ref="G13">INDEX(A$2:A$1048576,$E13)</f>
        <v>-14.012422462031118</v>
      </c>
      <c r="H13" cm="1">
        <f t="array" ref="H13">INDEX(B$2:B$1048576,$E13)</f>
        <v>30.962659021357005</v>
      </c>
      <c r="I13" cm="1">
        <f t="array" ref="I13">INDEX(C$2:C$1048576,$E13)</f>
        <v>6.4948580706499115</v>
      </c>
      <c r="K13" s="84">
        <v>82943</v>
      </c>
    </row>
    <row r="14" spans="1:22" x14ac:dyDescent="0.25">
      <c r="A14">
        <v>-13.442815008835481</v>
      </c>
      <c r="B14">
        <v>29.356568933777858</v>
      </c>
      <c r="C14">
        <v>6.5241269450562225</v>
      </c>
      <c r="E14" s="2">
        <v>13</v>
      </c>
      <c r="G14" cm="1">
        <f t="array" ref="G14">INDEX(A$2:A$1048576,$E14)</f>
        <v>-13.442815008835481</v>
      </c>
      <c r="H14" cm="1">
        <f t="array" ref="H14">INDEX(B$2:B$1048576,$E14)</f>
        <v>29.356568933777858</v>
      </c>
      <c r="I14" cm="1">
        <f t="array" ref="I14">INDEX(C$2:C$1048576,$E14)</f>
        <v>6.5241269450562225</v>
      </c>
      <c r="K14" s="4">
        <v>84479</v>
      </c>
    </row>
    <row r="15" spans="1:22" x14ac:dyDescent="0.25">
      <c r="A15">
        <v>-12.744836985349274</v>
      </c>
      <c r="B15">
        <v>28.116859738600837</v>
      </c>
      <c r="C15">
        <v>6.1342717309763772</v>
      </c>
      <c r="E15" s="2">
        <v>14</v>
      </c>
      <c r="G15" cm="1">
        <f t="array" ref="G15">INDEX(A$2:A$1048576,$E15)</f>
        <v>-12.744836985349274</v>
      </c>
      <c r="H15" cm="1">
        <f t="array" ref="H15">INDEX(B$2:B$1048576,$E15)</f>
        <v>28.116859738600837</v>
      </c>
      <c r="I15" cm="1">
        <f t="array" ref="I15">INDEX(C$2:C$1048576,$E15)</f>
        <v>6.1342717309763772</v>
      </c>
      <c r="K15" s="85">
        <v>86015</v>
      </c>
    </row>
    <row r="16" spans="1:22" x14ac:dyDescent="0.25">
      <c r="A16">
        <v>-11.776094103312385</v>
      </c>
      <c r="B16">
        <v>26.885320959033901</v>
      </c>
      <c r="C16">
        <v>5.9524353696740988</v>
      </c>
      <c r="E16" s="2">
        <v>15</v>
      </c>
      <c r="G16" cm="1">
        <f t="array" ref="G16">INDEX(A$2:A$1048576,$E16)</f>
        <v>-11.776094103312385</v>
      </c>
      <c r="H16" cm="1">
        <f t="array" ref="H16">INDEX(B$2:B$1048576,$E16)</f>
        <v>26.885320959033901</v>
      </c>
      <c r="I16" cm="1">
        <f t="array" ref="I16">INDEX(C$2:C$1048576,$E16)</f>
        <v>5.9524353696740988</v>
      </c>
      <c r="K16" s="86">
        <v>87551</v>
      </c>
    </row>
    <row r="17" spans="1:11" x14ac:dyDescent="0.25">
      <c r="A17">
        <v>-10.613203775084772</v>
      </c>
      <c r="B17">
        <v>25.907564030258687</v>
      </c>
      <c r="C17">
        <v>5.5313105112645005</v>
      </c>
      <c r="E17" s="2">
        <v>16</v>
      </c>
      <c r="G17" cm="1">
        <f t="array" ref="G17">INDEX(A$2:A$1048576,$E17)</f>
        <v>-10.613203775084772</v>
      </c>
      <c r="H17" cm="1">
        <f t="array" ref="H17">INDEX(B$2:B$1048576,$E17)</f>
        <v>25.907564030258687</v>
      </c>
      <c r="I17" cm="1">
        <f t="array" ref="I17">INDEX(C$2:C$1048576,$E17)</f>
        <v>5.5313105112645005</v>
      </c>
      <c r="K17" s="35">
        <v>89087</v>
      </c>
    </row>
    <row r="18" spans="1:11" x14ac:dyDescent="0.25">
      <c r="A18">
        <v>-9.8587080839060857</v>
      </c>
      <c r="B18">
        <v>24.434762572590159</v>
      </c>
      <c r="C18">
        <v>4.6441089379512297</v>
      </c>
      <c r="E18" s="2">
        <v>17</v>
      </c>
      <c r="G18" cm="1">
        <f t="array" ref="G18">INDEX(A$2:A$1048576,$E18)</f>
        <v>-9.8587080839060857</v>
      </c>
      <c r="H18" cm="1">
        <f t="array" ref="H18">INDEX(B$2:B$1048576,$E18)</f>
        <v>24.434762572590159</v>
      </c>
      <c r="I18" cm="1">
        <f t="array" ref="I18">INDEX(C$2:C$1048576,$E18)</f>
        <v>4.6441089379512297</v>
      </c>
      <c r="K18" s="87">
        <v>90623</v>
      </c>
    </row>
    <row r="19" spans="1:11" x14ac:dyDescent="0.25">
      <c r="A19">
        <v>-9.8113295086700134</v>
      </c>
      <c r="B19">
        <v>22.766013582231395</v>
      </c>
      <c r="C19">
        <v>3.5349982051786468</v>
      </c>
      <c r="E19" s="2">
        <v>18</v>
      </c>
      <c r="G19" cm="1">
        <f t="array" ref="G19">INDEX(A$2:A$1048576,$E19)</f>
        <v>-9.8113295086700134</v>
      </c>
      <c r="H19" cm="1">
        <f t="array" ref="H19">INDEX(B$2:B$1048576,$E19)</f>
        <v>22.766013582231395</v>
      </c>
      <c r="I19" cm="1">
        <f t="array" ref="I19">INDEX(C$2:C$1048576,$E19)</f>
        <v>3.5349982051786468</v>
      </c>
      <c r="K19" s="36">
        <v>92159</v>
      </c>
    </row>
    <row r="20" spans="1:11" x14ac:dyDescent="0.25">
      <c r="A20">
        <v>-9.8927968351943356</v>
      </c>
      <c r="B20">
        <v>21.097042608500754</v>
      </c>
      <c r="C20">
        <v>2.3522215816984544</v>
      </c>
      <c r="E20" s="2">
        <v>19</v>
      </c>
      <c r="G20" cm="1">
        <f t="array" ref="G20">INDEX(A$2:A$1048576,$E20)</f>
        <v>-9.8927968351943356</v>
      </c>
      <c r="H20" cm="1">
        <f t="array" ref="H20">INDEX(B$2:B$1048576,$E20)</f>
        <v>21.097042608500754</v>
      </c>
      <c r="I20" cm="1">
        <f t="array" ref="I20">INDEX(C$2:C$1048576,$E20)</f>
        <v>2.3522215816984544</v>
      </c>
      <c r="K20" s="88">
        <v>93695</v>
      </c>
    </row>
    <row r="21" spans="1:11" x14ac:dyDescent="0.25">
      <c r="A21">
        <v>-10.101889086306009</v>
      </c>
      <c r="B21">
        <v>19.272159574815447</v>
      </c>
      <c r="C21">
        <v>1.8134863478020415</v>
      </c>
      <c r="E21" s="2">
        <v>20</v>
      </c>
      <c r="G21" cm="1">
        <f t="array" ref="G21">INDEX(A$2:A$1048576,$E21)</f>
        <v>-10.101889086306009</v>
      </c>
      <c r="H21" cm="1">
        <f t="array" ref="H21">INDEX(B$2:B$1048576,$E21)</f>
        <v>19.272159574815447</v>
      </c>
      <c r="I21" cm="1">
        <f t="array" ref="I21">INDEX(C$2:C$1048576,$E21)</f>
        <v>1.8134863478020415</v>
      </c>
      <c r="K21" s="89">
        <v>95231</v>
      </c>
    </row>
    <row r="22" spans="1:11" x14ac:dyDescent="0.25">
      <c r="A22">
        <v>-9.9721983712100748</v>
      </c>
      <c r="B22">
        <v>17.430667715514382</v>
      </c>
      <c r="C22">
        <v>1.5487833091000767</v>
      </c>
      <c r="E22" s="2">
        <v>21</v>
      </c>
      <c r="G22" cm="1">
        <f t="array" ref="G22">INDEX(A$2:A$1048576,$E22)</f>
        <v>-9.9721983712100748</v>
      </c>
      <c r="H22" cm="1">
        <f t="array" ref="H22">INDEX(B$2:B$1048576,$E22)</f>
        <v>17.430667715514382</v>
      </c>
      <c r="I22" cm="1">
        <f t="array" ref="I22">INDEX(C$2:C$1048576,$E22)</f>
        <v>1.5487833091000767</v>
      </c>
      <c r="K22" s="10">
        <v>96767</v>
      </c>
    </row>
    <row r="23" spans="1:11" x14ac:dyDescent="0.25">
      <c r="A23">
        <v>-9.5205742890116483</v>
      </c>
      <c r="B23">
        <v>16.039594704469248</v>
      </c>
      <c r="C23">
        <v>1.1820437752629147</v>
      </c>
      <c r="E23" s="2">
        <v>22</v>
      </c>
      <c r="G23" cm="1">
        <f t="array" ref="G23">INDEX(A$2:A$1048576,$E23)</f>
        <v>-9.5205742890116483</v>
      </c>
      <c r="H23" cm="1">
        <f t="array" ref="H23">INDEX(B$2:B$1048576,$E23)</f>
        <v>16.039594704469248</v>
      </c>
      <c r="I23" cm="1">
        <f t="array" ref="I23">INDEX(C$2:C$1048576,$E23)</f>
        <v>1.1820437752629147</v>
      </c>
      <c r="K23" s="90">
        <v>98303</v>
      </c>
    </row>
    <row r="24" spans="1:11" x14ac:dyDescent="0.25">
      <c r="A24">
        <v>-8.9767666088855407</v>
      </c>
      <c r="B24">
        <v>14.524682156738256</v>
      </c>
      <c r="C24">
        <v>0.97983568463326609</v>
      </c>
      <c r="E24" s="2">
        <v>23</v>
      </c>
      <c r="G24" cm="1">
        <f t="array" ref="G24">INDEX(A$2:A$1048576,$E24)</f>
        <v>-8.9767666088855407</v>
      </c>
      <c r="H24" cm="1">
        <f t="array" ref="H24">INDEX(B$2:B$1048576,$E24)</f>
        <v>14.524682156738256</v>
      </c>
      <c r="I24" cm="1">
        <f t="array" ref="I24">INDEX(C$2:C$1048576,$E24)</f>
        <v>0.97983568463326609</v>
      </c>
      <c r="K24" s="37">
        <v>99583</v>
      </c>
    </row>
    <row r="25" spans="1:11" x14ac:dyDescent="0.25">
      <c r="A25">
        <v>-8.1473011075777819</v>
      </c>
      <c r="B25">
        <v>13.308758885008931</v>
      </c>
      <c r="C25">
        <v>0.66384525548762441</v>
      </c>
      <c r="E25" s="2">
        <v>24</v>
      </c>
      <c r="G25" cm="1">
        <f t="array" ref="G25">INDEX(A$2:A$1048576,$E25)</f>
        <v>-8.1473011075777819</v>
      </c>
      <c r="H25" cm="1">
        <f t="array" ref="H25">INDEX(B$2:B$1048576,$E25)</f>
        <v>13.308758885008931</v>
      </c>
      <c r="I25" cm="1">
        <f t="array" ref="I25">INDEX(C$2:C$1048576,$E25)</f>
        <v>0.66384525548762441</v>
      </c>
      <c r="K25" s="91">
        <v>101119</v>
      </c>
    </row>
    <row r="26" spans="1:11" x14ac:dyDescent="0.25">
      <c r="A26">
        <v>-7.3512902189384643</v>
      </c>
      <c r="B26">
        <v>12.324526077275056</v>
      </c>
      <c r="C26">
        <v>-8.3717698922466693E-2</v>
      </c>
      <c r="E26" s="2">
        <v>25</v>
      </c>
      <c r="G26" cm="1">
        <f t="array" ref="G26">INDEX(A$2:A$1048576,$E26)</f>
        <v>-7.3512902189384643</v>
      </c>
      <c r="H26" cm="1">
        <f t="array" ref="H26">INDEX(B$2:B$1048576,$E26)</f>
        <v>12.324526077275056</v>
      </c>
      <c r="I26" cm="1">
        <f t="array" ref="I26">INDEX(C$2:C$1048576,$E26)</f>
        <v>-8.3717698922466693E-2</v>
      </c>
      <c r="K26" s="92">
        <v>102655</v>
      </c>
    </row>
    <row r="27" spans="1:11" x14ac:dyDescent="0.25">
      <c r="A27">
        <v>-6.3860774717516611</v>
      </c>
      <c r="B27">
        <v>11.403682579182341</v>
      </c>
      <c r="C27">
        <v>-0.84266487398433476</v>
      </c>
      <c r="E27" s="2">
        <v>26</v>
      </c>
      <c r="G27" cm="1">
        <f t="array" ref="G27">INDEX(A$2:A$1048576,$E27)</f>
        <v>-6.3860774717516611</v>
      </c>
      <c r="H27" cm="1">
        <f t="array" ref="H27">INDEX(B$2:B$1048576,$E27)</f>
        <v>11.403682579182341</v>
      </c>
      <c r="I27" cm="1">
        <f t="array" ref="I27">INDEX(C$2:C$1048576,$E27)</f>
        <v>-0.84266487398433476</v>
      </c>
      <c r="K27" s="5">
        <v>104191</v>
      </c>
    </row>
    <row r="28" spans="1:11" x14ac:dyDescent="0.25">
      <c r="A28">
        <v>-5.5192264280468191</v>
      </c>
      <c r="B28">
        <v>10.835010032599479</v>
      </c>
      <c r="C28">
        <v>-2.0183959279868597</v>
      </c>
      <c r="E28" s="2">
        <v>27</v>
      </c>
      <c r="G28" cm="1">
        <f t="array" ref="G28">INDEX(A$2:A$1048576,$E28)</f>
        <v>-5.5192264280468191</v>
      </c>
      <c r="H28" cm="1">
        <f t="array" ref="H28">INDEX(B$2:B$1048576,$E28)</f>
        <v>10.835010032599479</v>
      </c>
      <c r="I28" cm="1">
        <f t="array" ref="I28">INDEX(C$2:C$1048576,$E28)</f>
        <v>-2.0183959279868597</v>
      </c>
      <c r="K28" s="93">
        <v>105727</v>
      </c>
    </row>
    <row r="29" spans="1:11" x14ac:dyDescent="0.25">
      <c r="A29">
        <v>-4.2730762128506354</v>
      </c>
      <c r="B29">
        <v>10.245195341059469</v>
      </c>
      <c r="C29">
        <v>-3.210648424512462</v>
      </c>
      <c r="E29" s="2">
        <v>28</v>
      </c>
      <c r="G29" cm="1">
        <f t="array" ref="G29">INDEX(A$2:A$1048576,$E29)</f>
        <v>-4.2730762128506354</v>
      </c>
      <c r="H29" cm="1">
        <f t="array" ref="H29">INDEX(B$2:B$1048576,$E29)</f>
        <v>10.245195341059469</v>
      </c>
      <c r="I29" cm="1">
        <f t="array" ref="I29">INDEX(C$2:C$1048576,$E29)</f>
        <v>-3.210648424512462</v>
      </c>
      <c r="K29" s="38">
        <v>107263</v>
      </c>
    </row>
    <row r="30" spans="1:11" x14ac:dyDescent="0.25">
      <c r="A30">
        <v>-3.3309769894743977</v>
      </c>
      <c r="B30">
        <v>9.6465895386216616</v>
      </c>
      <c r="C30">
        <v>-4.4753174163667317</v>
      </c>
      <c r="E30" s="2">
        <v>29</v>
      </c>
      <c r="G30" cm="1">
        <f t="array" ref="G30">INDEX(A$2:A$1048576,$E30)</f>
        <v>-3.3309769894743977</v>
      </c>
      <c r="H30" cm="1">
        <f t="array" ref="H30">INDEX(B$2:B$1048576,$E30)</f>
        <v>9.6465895386216616</v>
      </c>
      <c r="I30" cm="1">
        <f t="array" ref="I30">INDEX(C$2:C$1048576,$E30)</f>
        <v>-4.4753174163667317</v>
      </c>
      <c r="K30" s="94">
        <v>108799</v>
      </c>
    </row>
    <row r="31" spans="1:11" x14ac:dyDescent="0.25">
      <c r="A31">
        <v>-1.8252945969474432</v>
      </c>
      <c r="B31">
        <v>9.2396861046320904</v>
      </c>
      <c r="C31">
        <v>-4.8969459337636598</v>
      </c>
      <c r="E31" s="2">
        <v>30</v>
      </c>
      <c r="G31" cm="1">
        <f t="array" ref="G31">INDEX(A$2:A$1048576,$E31)</f>
        <v>-1.8252945969474432</v>
      </c>
      <c r="H31" cm="1">
        <f t="array" ref="H31">INDEX(B$2:B$1048576,$E31)</f>
        <v>9.2396861046320904</v>
      </c>
      <c r="I31" cm="1">
        <f t="array" ref="I31">INDEX(C$2:C$1048576,$E31)</f>
        <v>-4.8969459337636598</v>
      </c>
      <c r="K31" s="95">
        <v>110335</v>
      </c>
    </row>
    <row r="32" spans="1:11" x14ac:dyDescent="0.25">
      <c r="A32">
        <v>-0.45456843190439838</v>
      </c>
      <c r="B32">
        <v>9.0793362902902892</v>
      </c>
      <c r="C32">
        <v>-3.7346421867433466</v>
      </c>
      <c r="E32" s="2">
        <v>31</v>
      </c>
      <c r="G32" cm="1">
        <f t="array" ref="G32">INDEX(A$2:A$1048576,$E32)</f>
        <v>-0.45456843190439838</v>
      </c>
      <c r="H32" cm="1">
        <f t="array" ref="H32">INDEX(B$2:B$1048576,$E32)</f>
        <v>9.0793362902902892</v>
      </c>
      <c r="I32" cm="1">
        <f t="array" ref="I32">INDEX(C$2:C$1048576,$E32)</f>
        <v>-3.7346421867433466</v>
      </c>
      <c r="K32" s="11">
        <v>111871</v>
      </c>
    </row>
    <row r="33" spans="1:11" x14ac:dyDescent="0.25">
      <c r="A33">
        <v>0.1709922047534102</v>
      </c>
      <c r="B33">
        <v>8.9049336324656245</v>
      </c>
      <c r="C33">
        <v>-2.176932497998306</v>
      </c>
      <c r="E33" s="2">
        <v>32</v>
      </c>
      <c r="G33" cm="1">
        <f t="array" ref="G33">INDEX(A$2:A$1048576,$E33)</f>
        <v>0.1709922047534102</v>
      </c>
      <c r="H33" cm="1">
        <f t="array" ref="H33">INDEX(B$2:B$1048576,$E33)</f>
        <v>8.9049336324656245</v>
      </c>
      <c r="I33" cm="1">
        <f t="array" ref="I33">INDEX(C$2:C$1048576,$E33)</f>
        <v>-2.176932497998306</v>
      </c>
      <c r="K33" s="96">
        <v>113407</v>
      </c>
    </row>
    <row r="34" spans="1:11" x14ac:dyDescent="0.25">
      <c r="A34">
        <v>0.53941429298932086</v>
      </c>
      <c r="B34">
        <v>9.3860661678720625</v>
      </c>
      <c r="C34">
        <v>-0.57983450064189679</v>
      </c>
      <c r="E34" s="2">
        <v>33</v>
      </c>
      <c r="G34" cm="1">
        <f t="array" ref="G34">INDEX(A$2:A$1048576,$E34)</f>
        <v>0.53941429298932086</v>
      </c>
      <c r="H34" cm="1">
        <f t="array" ref="H34">INDEX(B$2:B$1048576,$E34)</f>
        <v>9.3860661678720625</v>
      </c>
      <c r="I34" cm="1">
        <f t="array" ref="I34">INDEX(C$2:C$1048576,$E34)</f>
        <v>-0.57983450064189679</v>
      </c>
      <c r="K34" s="39">
        <v>114943</v>
      </c>
    </row>
    <row r="35" spans="1:11" x14ac:dyDescent="0.25">
      <c r="A35">
        <v>0.82655178655857686</v>
      </c>
      <c r="B35">
        <v>9.8465164905694884</v>
      </c>
      <c r="C35">
        <v>1.0414904746993394</v>
      </c>
      <c r="E35" s="2">
        <v>34</v>
      </c>
      <c r="G35" cm="1">
        <f t="array" ref="G35">INDEX(A$2:A$1048576,$E35)</f>
        <v>0.82655178655857686</v>
      </c>
      <c r="H35" cm="1">
        <f t="array" ref="H35">INDEX(B$2:B$1048576,$E35)</f>
        <v>9.8465164905694884</v>
      </c>
      <c r="I35" cm="1">
        <f t="array" ref="I35">INDEX(C$2:C$1048576,$E35)</f>
        <v>1.0414904746993394</v>
      </c>
      <c r="K35" s="97">
        <v>116479</v>
      </c>
    </row>
    <row r="36" spans="1:11" x14ac:dyDescent="0.25">
      <c r="A36">
        <v>0.92909708144403846</v>
      </c>
      <c r="B36">
        <v>10.522581641070666</v>
      </c>
      <c r="C36">
        <v>2.8010577117844262</v>
      </c>
      <c r="E36" s="2">
        <v>35</v>
      </c>
      <c r="G36" cm="1">
        <f t="array" ref="G36">INDEX(A$2:A$1048576,$E36)</f>
        <v>0.92909708144403846</v>
      </c>
      <c r="H36" cm="1">
        <f t="array" ref="H36">INDEX(B$2:B$1048576,$E36)</f>
        <v>10.522581641070666</v>
      </c>
      <c r="I36" cm="1">
        <f t="array" ref="I36">INDEX(C$2:C$1048576,$E36)</f>
        <v>2.8010577117844262</v>
      </c>
      <c r="K36" s="98">
        <v>118015</v>
      </c>
    </row>
    <row r="37" spans="1:11" x14ac:dyDescent="0.25">
      <c r="A37">
        <v>1.4836144793668082</v>
      </c>
      <c r="B37">
        <v>11.529039273593071</v>
      </c>
      <c r="C37">
        <v>4.3583178700117227</v>
      </c>
      <c r="E37" s="2">
        <v>36</v>
      </c>
      <c r="G37" cm="1">
        <f t="array" ref="G37">INDEX(A$2:A$1048576,$E37)</f>
        <v>1.4836144793668082</v>
      </c>
      <c r="H37" cm="1">
        <f t="array" ref="H37">INDEX(B$2:B$1048576,$E37)</f>
        <v>11.529039273593071</v>
      </c>
      <c r="I37" cm="1">
        <f t="array" ref="I37">INDEX(C$2:C$1048576,$E37)</f>
        <v>4.3583178700117227</v>
      </c>
      <c r="K37" s="40">
        <v>119551</v>
      </c>
    </row>
    <row r="38" spans="1:11" x14ac:dyDescent="0.25">
      <c r="A38">
        <v>2.0762202995269332</v>
      </c>
      <c r="B38">
        <v>12.512804787953099</v>
      </c>
      <c r="C38">
        <v>5.2638126219482375</v>
      </c>
      <c r="E38" s="2">
        <v>37</v>
      </c>
      <c r="G38" cm="1">
        <f t="array" ref="G38">INDEX(A$2:A$1048576,$E38)</f>
        <v>2.0762202995269332</v>
      </c>
      <c r="H38" cm="1">
        <f t="array" ref="H38">INDEX(B$2:B$1048576,$E38)</f>
        <v>12.512804787953099</v>
      </c>
      <c r="I38" cm="1">
        <f t="array" ref="I38">INDEX(C$2:C$1048576,$E38)</f>
        <v>5.2638126219482375</v>
      </c>
      <c r="K38" s="99">
        <v>121087</v>
      </c>
    </row>
    <row r="39" spans="1:11" x14ac:dyDescent="0.25">
      <c r="A39">
        <v>3.1928823095334913</v>
      </c>
      <c r="B39">
        <v>13.894632289072142</v>
      </c>
      <c r="C39">
        <v>5.8137038508185759</v>
      </c>
      <c r="E39" s="2">
        <v>38</v>
      </c>
      <c r="G39" cm="1">
        <f t="array" ref="G39">INDEX(A$2:A$1048576,$E39)</f>
        <v>3.1928823095334913</v>
      </c>
      <c r="H39" cm="1">
        <f t="array" ref="H39">INDEX(B$2:B$1048576,$E39)</f>
        <v>13.894632289072142</v>
      </c>
      <c r="I39" cm="1">
        <f t="array" ref="I39">INDEX(C$2:C$1048576,$E39)</f>
        <v>5.8137038508185759</v>
      </c>
      <c r="K39" s="24">
        <v>122623</v>
      </c>
    </row>
    <row r="40" spans="1:11" x14ac:dyDescent="0.25">
      <c r="A40">
        <v>4.1301239889898849</v>
      </c>
      <c r="B40">
        <v>15.118725502887379</v>
      </c>
      <c r="C40">
        <v>5.7118730142111183</v>
      </c>
      <c r="E40" s="2">
        <v>39</v>
      </c>
      <c r="G40" cm="1">
        <f t="array" ref="G40">INDEX(A$2:A$1048576,$E40)</f>
        <v>4.1301239889898849</v>
      </c>
      <c r="H40" cm="1">
        <f t="array" ref="H40">INDEX(B$2:B$1048576,$E40)</f>
        <v>15.118725502887379</v>
      </c>
      <c r="I40" cm="1">
        <f t="array" ref="I40">INDEX(C$2:C$1048576,$E40)</f>
        <v>5.7118730142111183</v>
      </c>
      <c r="K40" s="100">
        <v>124159</v>
      </c>
    </row>
    <row r="41" spans="1:11" x14ac:dyDescent="0.25">
      <c r="A41">
        <v>5.1302641507856457</v>
      </c>
      <c r="B41">
        <v>16.591803176715111</v>
      </c>
      <c r="C41">
        <v>5.4728205836905159</v>
      </c>
      <c r="E41" s="2">
        <v>40</v>
      </c>
      <c r="G41" cm="1">
        <f t="array" ref="G41">INDEX(A$2:A$1048576,$E41)</f>
        <v>5.1302641507856457</v>
      </c>
      <c r="H41" cm="1">
        <f t="array" ref="H41">INDEX(B$2:B$1048576,$E41)</f>
        <v>16.591803176715111</v>
      </c>
      <c r="I41" cm="1">
        <f t="array" ref="I41">INDEX(C$2:C$1048576,$E41)</f>
        <v>5.4728205836905159</v>
      </c>
      <c r="K41" s="101">
        <v>125695</v>
      </c>
    </row>
    <row r="42" spans="1:11" x14ac:dyDescent="0.25">
      <c r="A42">
        <v>5.6304624548354107</v>
      </c>
      <c r="B42">
        <v>18.106094034564634</v>
      </c>
      <c r="C42">
        <v>5.7345418753898461</v>
      </c>
      <c r="E42" s="2">
        <v>41</v>
      </c>
      <c r="G42" cm="1">
        <f t="array" ref="G42">INDEX(A$2:A$1048576,$E42)</f>
        <v>5.6304624548354107</v>
      </c>
      <c r="H42" cm="1">
        <f t="array" ref="H42">INDEX(B$2:B$1048576,$E42)</f>
        <v>18.106094034564634</v>
      </c>
      <c r="I42" cm="1">
        <f t="array" ref="I42">INDEX(C$2:C$1048576,$E42)</f>
        <v>5.7345418753898461</v>
      </c>
      <c r="K42" s="12">
        <v>127231</v>
      </c>
    </row>
    <row r="43" spans="1:11" x14ac:dyDescent="0.25">
      <c r="A43">
        <v>5.7475955444279858</v>
      </c>
      <c r="B43">
        <v>19.620980046952813</v>
      </c>
      <c r="C43">
        <v>5.7920435900940603</v>
      </c>
      <c r="E43" s="2">
        <v>42</v>
      </c>
      <c r="G43" cm="1">
        <f t="array" ref="G43">INDEX(A$2:A$1048576,$E43)</f>
        <v>5.7475955444279858</v>
      </c>
      <c r="H43" cm="1">
        <f t="array" ref="H43">INDEX(B$2:B$1048576,$E43)</f>
        <v>19.620980046952813</v>
      </c>
      <c r="I43" cm="1">
        <f t="array" ref="I43">INDEX(C$2:C$1048576,$E43)</f>
        <v>5.7920435900940603</v>
      </c>
      <c r="K43" s="102">
        <v>128767</v>
      </c>
    </row>
    <row r="44" spans="1:11" x14ac:dyDescent="0.25">
      <c r="A44">
        <v>5.7093562342590998</v>
      </c>
      <c r="B44">
        <v>21.458080634465354</v>
      </c>
      <c r="C44">
        <v>5.7019222879467977</v>
      </c>
      <c r="E44" s="2">
        <v>43</v>
      </c>
      <c r="G44" cm="1">
        <f t="array" ref="G44">INDEX(A$2:A$1048576,$E44)</f>
        <v>5.7093562342590998</v>
      </c>
      <c r="H44" cm="1">
        <f t="array" ref="H44">INDEX(B$2:B$1048576,$E44)</f>
        <v>21.458080634465354</v>
      </c>
      <c r="I44" cm="1">
        <f t="array" ref="I44">INDEX(C$2:C$1048576,$E44)</f>
        <v>5.7019222879467977</v>
      </c>
      <c r="K44" s="41">
        <v>130303</v>
      </c>
    </row>
    <row r="45" spans="1:11" x14ac:dyDescent="0.25">
      <c r="A45">
        <v>5.2143700538729094</v>
      </c>
      <c r="B45">
        <v>22.957149876132387</v>
      </c>
      <c r="C45">
        <v>5.9245118131912093</v>
      </c>
      <c r="E45" s="2">
        <v>44</v>
      </c>
      <c r="G45" cm="1">
        <f t="array" ref="G45">INDEX(A$2:A$1048576,$E45)</f>
        <v>5.2143700538729094</v>
      </c>
      <c r="H45" cm="1">
        <f t="array" ref="H45">INDEX(B$2:B$1048576,$E45)</f>
        <v>22.957149876132387</v>
      </c>
      <c r="I45" cm="1">
        <f t="array" ref="I45">INDEX(C$2:C$1048576,$E45)</f>
        <v>5.9245118131912093</v>
      </c>
      <c r="K45" s="103">
        <v>131068</v>
      </c>
    </row>
    <row r="46" spans="1:11" x14ac:dyDescent="0.25">
      <c r="A46">
        <v>4.3442967990192649</v>
      </c>
      <c r="B46">
        <v>24.166587159584978</v>
      </c>
      <c r="C46">
        <v>6.4726928150939971</v>
      </c>
      <c r="E46" s="2">
        <v>45</v>
      </c>
      <c r="G46" cm="1">
        <f t="array" ref="G46">INDEX(A$2:A$1048576,$E46)</f>
        <v>4.3442967990192649</v>
      </c>
      <c r="H46" cm="1">
        <f t="array" ref="H46">INDEX(B$2:B$1048576,$E46)</f>
        <v>24.166587159584978</v>
      </c>
      <c r="I46" cm="1">
        <f t="array" ref="I46">INDEX(C$2:C$1048576,$E46)</f>
        <v>6.4726928150939971</v>
      </c>
      <c r="K46" s="104">
        <v>131062</v>
      </c>
    </row>
    <row r="47" spans="1:11" x14ac:dyDescent="0.25">
      <c r="A47">
        <v>3.3547009683910884</v>
      </c>
      <c r="B47">
        <v>25.531005739592125</v>
      </c>
      <c r="C47">
        <v>6.6677696771558148</v>
      </c>
      <c r="E47" s="2">
        <v>46</v>
      </c>
      <c r="G47" cm="1">
        <f t="array" ref="G47">INDEX(A$2:A$1048576,$E47)</f>
        <v>3.3547009683910884</v>
      </c>
      <c r="H47" cm="1">
        <f t="array" ref="H47">INDEX(B$2:B$1048576,$E47)</f>
        <v>25.531005739592125</v>
      </c>
      <c r="I47" cm="1">
        <f t="array" ref="I47">INDEX(C$2:C$1048576,$E47)</f>
        <v>6.6677696771558148</v>
      </c>
      <c r="K47" s="42">
        <v>131056</v>
      </c>
    </row>
    <row r="48" spans="1:11" x14ac:dyDescent="0.25">
      <c r="A48">
        <v>2.2637833102919114</v>
      </c>
      <c r="B48">
        <v>26.896968144997537</v>
      </c>
      <c r="C48">
        <v>6.6812168597488508</v>
      </c>
      <c r="E48" s="2">
        <v>47</v>
      </c>
      <c r="G48" cm="1">
        <f t="array" ref="G48">INDEX(A$2:A$1048576,$E48)</f>
        <v>2.2637833102919114</v>
      </c>
      <c r="H48" cm="1">
        <f t="array" ref="H48">INDEX(B$2:B$1048576,$E48)</f>
        <v>26.896968144997537</v>
      </c>
      <c r="I48" cm="1">
        <f t="array" ref="I48">INDEX(C$2:C$1048576,$E48)</f>
        <v>6.6812168597488508</v>
      </c>
      <c r="K48" s="105">
        <v>131050</v>
      </c>
    </row>
    <row r="49" spans="1:11" x14ac:dyDescent="0.25">
      <c r="A49">
        <v>2.2338041380149507</v>
      </c>
      <c r="B49">
        <v>28.60804695566878</v>
      </c>
      <c r="C49">
        <v>6.3306115862425463</v>
      </c>
      <c r="E49" s="2">
        <v>48</v>
      </c>
      <c r="G49" cm="1">
        <f t="array" ref="G49">INDEX(A$2:A$1048576,$E49)</f>
        <v>2.2338041380149507</v>
      </c>
      <c r="H49" cm="1">
        <f t="array" ref="H49">INDEX(B$2:B$1048576,$E49)</f>
        <v>28.60804695566878</v>
      </c>
      <c r="I49" cm="1">
        <f t="array" ref="I49">INDEX(C$2:C$1048576,$E49)</f>
        <v>6.3306115862425463</v>
      </c>
      <c r="K49" s="43">
        <v>131044</v>
      </c>
    </row>
    <row r="50" spans="1:11" x14ac:dyDescent="0.25">
      <c r="A50">
        <v>2.7863130547477462</v>
      </c>
      <c r="B50">
        <v>30.335627304604092</v>
      </c>
      <c r="C50">
        <v>5.774286720112336</v>
      </c>
      <c r="E50" s="2">
        <v>49</v>
      </c>
      <c r="G50" cm="1">
        <f t="array" ref="G50">INDEX(A$2:A$1048576,$E50)</f>
        <v>2.7863130547477462</v>
      </c>
      <c r="H50" cm="1">
        <f t="array" ref="H50">INDEX(B$2:B$1048576,$E50)</f>
        <v>30.335627304604092</v>
      </c>
      <c r="I50" cm="1">
        <f t="array" ref="I50">INDEX(C$2:C$1048576,$E50)</f>
        <v>5.774286720112336</v>
      </c>
      <c r="K50" s="106">
        <v>131038</v>
      </c>
    </row>
    <row r="51" spans="1:11" x14ac:dyDescent="0.25">
      <c r="A51">
        <v>3.1687074378907241</v>
      </c>
      <c r="B51">
        <v>31.954896444327666</v>
      </c>
      <c r="C51">
        <v>5.4866460609943548</v>
      </c>
      <c r="E51" s="2">
        <v>50</v>
      </c>
      <c r="G51" cm="1">
        <f t="array" ref="G51">INDEX(A$2:A$1048576,$E51)</f>
        <v>3.1687074378907241</v>
      </c>
      <c r="H51" cm="1">
        <f t="array" ref="H51">INDEX(B$2:B$1048576,$E51)</f>
        <v>31.954896444327666</v>
      </c>
      <c r="I51" cm="1">
        <f t="array" ref="I51">INDEX(C$2:C$1048576,$E51)</f>
        <v>5.4866460609943548</v>
      </c>
      <c r="K51" s="107">
        <v>131032</v>
      </c>
    </row>
    <row r="52" spans="1:11" x14ac:dyDescent="0.25">
      <c r="A52">
        <v>3.2427634433122039</v>
      </c>
      <c r="B52">
        <v>33.413804697301941</v>
      </c>
      <c r="C52">
        <v>4.9556969147180219</v>
      </c>
      <c r="E52" s="2">
        <v>51</v>
      </c>
      <c r="G52" cm="1">
        <f t="array" ref="G52">INDEX(A$2:A$1048576,$E52)</f>
        <v>3.2427634433122039</v>
      </c>
      <c r="H52" cm="1">
        <f t="array" ref="H52">INDEX(B$2:B$1048576,$E52)</f>
        <v>33.413804697301941</v>
      </c>
      <c r="I52" cm="1">
        <f t="array" ref="I52">INDEX(C$2:C$1048576,$E52)</f>
        <v>4.9556969147180219</v>
      </c>
      <c r="K52" s="13">
        <v>131026</v>
      </c>
    </row>
    <row r="53" spans="1:11" x14ac:dyDescent="0.25">
      <c r="A53">
        <v>3.1638435429200387</v>
      </c>
      <c r="B53">
        <v>34.905240858786641</v>
      </c>
      <c r="C53">
        <v>4.1448545908956724</v>
      </c>
      <c r="E53" s="2">
        <v>52</v>
      </c>
      <c r="G53" cm="1">
        <f t="array" ref="G53">INDEX(A$2:A$1048576,$E53)</f>
        <v>3.1638435429200387</v>
      </c>
      <c r="H53" cm="1">
        <f t="array" ref="H53">INDEX(B$2:B$1048576,$E53)</f>
        <v>34.905240858786641</v>
      </c>
      <c r="I53" cm="1">
        <f t="array" ref="I53">INDEX(C$2:C$1048576,$E53)</f>
        <v>4.1448545908956724</v>
      </c>
      <c r="K53" s="108">
        <v>131020</v>
      </c>
    </row>
    <row r="54" spans="1:11" x14ac:dyDescent="0.25">
      <c r="A54">
        <v>2.9794759071077808</v>
      </c>
      <c r="B54">
        <v>36.100577679076217</v>
      </c>
      <c r="C54">
        <v>3.4515331241116036</v>
      </c>
      <c r="E54" s="2">
        <v>53</v>
      </c>
      <c r="G54" cm="1">
        <f t="array" ref="G54">INDEX(A$2:A$1048576,$E54)</f>
        <v>2.9794759071077808</v>
      </c>
      <c r="H54" cm="1">
        <f t="array" ref="H54">INDEX(B$2:B$1048576,$E54)</f>
        <v>36.100577679076217</v>
      </c>
      <c r="I54" cm="1">
        <f t="array" ref="I54">INDEX(C$2:C$1048576,$E54)</f>
        <v>3.4515331241116036</v>
      </c>
      <c r="K54" s="44">
        <v>131014</v>
      </c>
    </row>
    <row r="55" spans="1:11" x14ac:dyDescent="0.25">
      <c r="A55">
        <v>2.9108935527259137</v>
      </c>
      <c r="B55">
        <v>37.373961642577079</v>
      </c>
      <c r="C55">
        <v>2.5623033855507775</v>
      </c>
      <c r="E55" s="2">
        <v>54</v>
      </c>
      <c r="G55" cm="1">
        <f t="array" ref="G55">INDEX(A$2:A$1048576,$E55)</f>
        <v>2.9108935527259137</v>
      </c>
      <c r="H55" cm="1">
        <f t="array" ref="H55">INDEX(B$2:B$1048576,$E55)</f>
        <v>37.373961642577079</v>
      </c>
      <c r="I55" cm="1">
        <f t="array" ref="I55">INDEX(C$2:C$1048576,$E55)</f>
        <v>2.5623033855507775</v>
      </c>
      <c r="K55" s="109">
        <v>131008</v>
      </c>
    </row>
    <row r="56" spans="1:11" x14ac:dyDescent="0.25">
      <c r="A56">
        <v>2.3577832579301758</v>
      </c>
      <c r="B56">
        <v>38.736826220635237</v>
      </c>
      <c r="C56">
        <v>2.1284209650261889</v>
      </c>
      <c r="E56" s="2">
        <v>55</v>
      </c>
      <c r="G56" cm="1">
        <f t="array" ref="G56">INDEX(A$2:A$1048576,$E56)</f>
        <v>2.3577832579301758</v>
      </c>
      <c r="H56" cm="1">
        <f t="array" ref="H56">INDEX(B$2:B$1048576,$E56)</f>
        <v>38.736826220635237</v>
      </c>
      <c r="I56" cm="1">
        <f t="array" ref="I56">INDEX(C$2:C$1048576,$E56)</f>
        <v>2.1284209650261889</v>
      </c>
      <c r="K56" s="110">
        <v>131002</v>
      </c>
    </row>
    <row r="57" spans="1:11" x14ac:dyDescent="0.25">
      <c r="A57">
        <v>1.4087219707378569</v>
      </c>
      <c r="B57">
        <v>39.994920436036594</v>
      </c>
      <c r="C57">
        <v>1.4948496686783461</v>
      </c>
      <c r="E57" s="2">
        <v>56</v>
      </c>
      <c r="G57" cm="1">
        <f t="array" ref="G57">INDEX(A$2:A$1048576,$E57)</f>
        <v>1.4087219707378569</v>
      </c>
      <c r="H57" cm="1">
        <f t="array" ref="H57">INDEX(B$2:B$1048576,$E57)</f>
        <v>39.994920436036594</v>
      </c>
      <c r="I57" cm="1">
        <f t="array" ref="I57">INDEX(C$2:C$1048576,$E57)</f>
        <v>1.4948496686783461</v>
      </c>
      <c r="K57" s="25">
        <v>130996</v>
      </c>
    </row>
    <row r="58" spans="1:11" x14ac:dyDescent="0.25">
      <c r="A58">
        <v>0.46729039956275781</v>
      </c>
      <c r="B58">
        <v>41.027689811370138</v>
      </c>
      <c r="C58">
        <v>0.91151881354700459</v>
      </c>
      <c r="E58" s="2">
        <v>57</v>
      </c>
      <c r="G58" cm="1">
        <f t="array" ref="G58">INDEX(A$2:A$1048576,$E58)</f>
        <v>0.46729039956275781</v>
      </c>
      <c r="H58" cm="1">
        <f t="array" ref="H58">INDEX(B$2:B$1048576,$E58)</f>
        <v>41.027689811370138</v>
      </c>
      <c r="I58" cm="1">
        <f t="array" ref="I58">INDEX(C$2:C$1048576,$E58)</f>
        <v>0.91151881354700459</v>
      </c>
      <c r="K58" s="111">
        <v>130990</v>
      </c>
    </row>
    <row r="59" spans="1:11" x14ac:dyDescent="0.25">
      <c r="A59">
        <v>-0.68111255846202678</v>
      </c>
      <c r="B59">
        <v>42.06599667672797</v>
      </c>
      <c r="C59">
        <v>0.3641175821759442</v>
      </c>
      <c r="E59" s="2">
        <v>58</v>
      </c>
      <c r="G59" cm="1">
        <f t="array" ref="G59">INDEX(A$2:A$1048576,$E59)</f>
        <v>-0.68111255846202678</v>
      </c>
      <c r="H59" cm="1">
        <f t="array" ref="H59">INDEX(B$2:B$1048576,$E59)</f>
        <v>42.06599667672797</v>
      </c>
      <c r="I59" cm="1">
        <f t="array" ref="I59">INDEX(C$2:C$1048576,$E59)</f>
        <v>0.3641175821759442</v>
      </c>
      <c r="K59" s="45">
        <v>130984</v>
      </c>
    </row>
    <row r="60" spans="1:11" x14ac:dyDescent="0.25">
      <c r="A60">
        <v>-2.0642523326588802</v>
      </c>
      <c r="B60">
        <v>42.7255361266688</v>
      </c>
      <c r="C60">
        <v>-2.3809042592496998E-2</v>
      </c>
      <c r="E60" s="2">
        <v>59</v>
      </c>
      <c r="G60" cm="1">
        <f t="array" ref="G60">INDEX(A$2:A$1048576,$E60)</f>
        <v>-2.0642523326588802</v>
      </c>
      <c r="H60" cm="1">
        <f t="array" ref="H60">INDEX(B$2:B$1048576,$E60)</f>
        <v>42.7255361266688</v>
      </c>
      <c r="I60" cm="1">
        <f t="array" ref="I60">INDEX(C$2:C$1048576,$E60)</f>
        <v>-2.3809042592496998E-2</v>
      </c>
      <c r="K60" s="112">
        <v>130978</v>
      </c>
    </row>
    <row r="61" spans="1:11" x14ac:dyDescent="0.25">
      <c r="A61">
        <v>-3.8037786040570802</v>
      </c>
      <c r="B61">
        <v>43.130292339882764</v>
      </c>
      <c r="C61">
        <v>-0.28634505624622381</v>
      </c>
      <c r="E61" s="2">
        <v>60</v>
      </c>
      <c r="G61" cm="1">
        <f t="array" ref="G61">INDEX(A$2:A$1048576,$E61)</f>
        <v>-3.8037786040570802</v>
      </c>
      <c r="H61" cm="1">
        <f t="array" ref="H61">INDEX(B$2:B$1048576,$E61)</f>
        <v>43.130292339882764</v>
      </c>
      <c r="I61" cm="1">
        <f t="array" ref="I61">INDEX(C$2:C$1048576,$E61)</f>
        <v>-0.28634505624622381</v>
      </c>
      <c r="K61" s="113">
        <v>130972</v>
      </c>
    </row>
  </sheetData>
  <sortState xmlns:xlrd2="http://schemas.microsoft.com/office/spreadsheetml/2017/richdata2" ref="E2:E21">
    <sortCondition descending="1" ref="E2:E21"/>
  </sortState>
  <dataConsolidate/>
  <conditionalFormatting sqref="E1:E1048576">
    <cfRule type="duplicateValues" dxfId="5" priority="8"/>
  </conditionalFormatting>
  <conditionalFormatting sqref="A2:A61">
    <cfRule type="top10" dxfId="4" priority="2" bottom="1" rank="1"/>
    <cfRule type="top10" dxfId="3" priority="3" rank="1"/>
  </conditionalFormatting>
  <conditionalFormatting sqref="B2:B61">
    <cfRule type="top10" dxfId="2" priority="4" bottom="1" rank="1"/>
    <cfRule type="top10" dxfId="1" priority="5" rank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Load_Base">
                <anchor moveWithCells="1" sizeWithCells="1">
                  <from>
                    <xdr:col>2</xdr:col>
                    <xdr:colOff>600075</xdr:colOff>
                    <xdr:row>0</xdr:row>
                    <xdr:rowOff>19050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84F05-CAA4-4C93-8B23-853C59DF6BCF}">
  <sheetPr codeName="Sheet2"/>
  <dimension ref="A1:V120"/>
  <sheetViews>
    <sheetView workbookViewId="0">
      <pane ySplit="1" topLeftCell="A2" activePane="bottomLeft" state="frozen"/>
      <selection activeCell="C48" sqref="C48"/>
      <selection pane="bottomLeft" activeCell="G3" sqref="G2:G3"/>
    </sheetView>
  </sheetViews>
  <sheetFormatPr defaultRowHeight="15" x14ac:dyDescent="0.25"/>
  <cols>
    <col min="5" max="5" width="6" customWidth="1"/>
    <col min="10" max="10" width="2.28515625" customWidth="1"/>
  </cols>
  <sheetData>
    <row r="1" spans="1:22" x14ac:dyDescent="0.25">
      <c r="A1" s="1" t="s">
        <v>0</v>
      </c>
      <c r="B1" s="1" t="s">
        <v>1</v>
      </c>
      <c r="C1" s="1" t="s">
        <v>2</v>
      </c>
      <c r="E1" s="1" t="s">
        <v>3</v>
      </c>
      <c r="G1" s="1" t="s">
        <v>0</v>
      </c>
      <c r="H1" s="1" t="s">
        <v>1</v>
      </c>
      <c r="I1" s="1" t="s">
        <v>2</v>
      </c>
      <c r="J1" s="1"/>
      <c r="L1" s="77" t="s">
        <v>5</v>
      </c>
      <c r="M1" s="77"/>
      <c r="N1" s="77"/>
      <c r="O1" s="77"/>
      <c r="P1" s="77"/>
      <c r="Q1" s="77"/>
      <c r="R1" s="77"/>
      <c r="S1" s="77"/>
      <c r="T1" s="77"/>
      <c r="U1" s="77"/>
      <c r="V1" s="77"/>
    </row>
    <row r="2" spans="1:22" x14ac:dyDescent="0.25">
      <c r="A2">
        <v>-1.764511022728896</v>
      </c>
      <c r="B2">
        <v>9.3344895185798489</v>
      </c>
      <c r="C2">
        <v>-3.3652014668132231</v>
      </c>
      <c r="E2" s="2">
        <v>119</v>
      </c>
      <c r="G2" cm="1">
        <f t="array" ref="G2">INDEX(_xlfn._TRO_TRAILING(A$2:A$1048576),$E2)</f>
        <v>-3.7838298576719716</v>
      </c>
      <c r="H2" cm="1">
        <f t="array" ref="H2">INDEX(_xlfn._TRO_TRAILING(B$2:B$1048576),$E2)</f>
        <v>43.21416591788936</v>
      </c>
      <c r="I2" cm="1">
        <f t="array" ref="I2">INDEX(_xlfn._TRO_TRAILING(C$2:C$1048576),$E2)</f>
        <v>0.46405775722723652</v>
      </c>
      <c r="K2" s="14">
        <v>130966</v>
      </c>
    </row>
    <row r="3" spans="1:22" x14ac:dyDescent="0.25">
      <c r="A3">
        <v>-2.074784656018227</v>
      </c>
      <c r="B3">
        <v>9.1105853102206904</v>
      </c>
      <c r="C3">
        <v>-1.901553113980615</v>
      </c>
      <c r="E3" s="2">
        <v>118</v>
      </c>
      <c r="G3" cm="1">
        <f t="array" ref="G3">INDEX(_xlfn._TRO_TRAILING(A$2:A$1048576),$E3)</f>
        <v>-3.8131443894951689</v>
      </c>
      <c r="H3" cm="1">
        <f t="array" ref="H3">INDEX(_xlfn._TRO_TRAILING(B$2:B$1048576),$E3)</f>
        <v>43.198985505390119</v>
      </c>
      <c r="I3" cm="1">
        <f t="array" ref="I3">INDEX(_xlfn._TRO_TRAILING(C$2:C$1048576),$E3)</f>
        <v>1.2383259323481755</v>
      </c>
      <c r="K3" s="114">
        <v>130960</v>
      </c>
    </row>
    <row r="4" spans="1:22" x14ac:dyDescent="0.25">
      <c r="A4">
        <v>-2.8077231344722966</v>
      </c>
      <c r="B4">
        <v>8.1010218452350955</v>
      </c>
      <c r="C4">
        <v>-1.0459082041578225</v>
      </c>
      <c r="E4" s="2">
        <v>117</v>
      </c>
      <c r="G4" cm="1">
        <f t="array" ref="G4">INDEX(_xlfn._TRO_TRAILING(A$2:A$1048576),$E4)</f>
        <v>-3.8607860285616491</v>
      </c>
      <c r="H4" cm="1">
        <f t="array" ref="H4">INDEX(_xlfn._TRO_TRAILING(B$2:B$1048576),$E4)</f>
        <v>43.097711390262262</v>
      </c>
      <c r="I4" cm="1">
        <f t="array" ref="I4">INDEX(_xlfn._TRO_TRAILING(C$2:C$1048576),$E4)</f>
        <v>2.0023783915429614</v>
      </c>
      <c r="K4" s="26">
        <v>130954</v>
      </c>
    </row>
    <row r="5" spans="1:22" x14ac:dyDescent="0.25">
      <c r="A5">
        <v>-3.0706497404665223</v>
      </c>
      <c r="B5">
        <v>8.7109820810565619</v>
      </c>
      <c r="C5">
        <v>0.1095106650423701</v>
      </c>
      <c r="E5" s="2">
        <v>116</v>
      </c>
      <c r="G5" cm="1">
        <f t="array" ref="G5">INDEX(_xlfn._TRO_TRAILING(A$2:A$1048576),$E5)</f>
        <v>-3.9188112700790674</v>
      </c>
      <c r="H5" cm="1">
        <f t="array" ref="H5">INDEX(_xlfn._TRO_TRAILING(B$2:B$1048576),$E5)</f>
        <v>42.955275772599236</v>
      </c>
      <c r="I5" cm="1">
        <f t="array" ref="I5">INDEX(_xlfn._TRO_TRAILING(C$2:C$1048576),$E5)</f>
        <v>2.7626295603015825</v>
      </c>
      <c r="K5" s="115">
        <v>130948</v>
      </c>
    </row>
    <row r="6" spans="1:22" x14ac:dyDescent="0.25">
      <c r="A6">
        <v>-3.6961647654295051</v>
      </c>
      <c r="B6">
        <v>7.8818249327266869</v>
      </c>
      <c r="C6">
        <v>1.2077093603054774</v>
      </c>
      <c r="E6" s="2">
        <v>115</v>
      </c>
      <c r="G6" cm="1">
        <f t="array" ref="G6">INDEX(_xlfn._TRO_TRAILING(A$2:A$1048576),$E6)</f>
        <v>-3.984840869706582</v>
      </c>
      <c r="H6" cm="1">
        <f t="array" ref="H6">INDEX(_xlfn._TRO_TRAILING(B$2:B$1048576),$E6)</f>
        <v>42.795313877304835</v>
      </c>
      <c r="I6" cm="1">
        <f t="array" ref="I6">INDEX(_xlfn._TRO_TRAILING(C$2:C$1048576),$E6)</f>
        <v>3.5163084260374329</v>
      </c>
      <c r="K6" s="116">
        <v>130943</v>
      </c>
    </row>
    <row r="7" spans="1:22" x14ac:dyDescent="0.25">
      <c r="A7">
        <v>-4.2853790297980385</v>
      </c>
      <c r="B7">
        <v>7.3488297049937579</v>
      </c>
      <c r="C7">
        <v>2.5193070321776938</v>
      </c>
      <c r="E7" s="2">
        <v>114</v>
      </c>
      <c r="G7" cm="1">
        <f t="array" ref="G7">INDEX(_xlfn._TRO_TRAILING(A$2:A$1048576),$E7)</f>
        <v>-4.0432970496456226</v>
      </c>
      <c r="H7" cm="1">
        <f t="array" ref="H7">INDEX(_xlfn._TRO_TRAILING(B$2:B$1048576),$E7)</f>
        <v>42.599627687508239</v>
      </c>
      <c r="I7" cm="1">
        <f t="array" ref="I7">INDEX(_xlfn._TRO_TRAILING(C$2:C$1048576),$E7)</f>
        <v>4.2569094285887017</v>
      </c>
      <c r="K7" s="46">
        <v>130937</v>
      </c>
    </row>
    <row r="8" spans="1:22" x14ac:dyDescent="0.25">
      <c r="A8">
        <v>-4.7974044527719046</v>
      </c>
      <c r="B8">
        <v>7.2777108964228692</v>
      </c>
      <c r="C8">
        <v>3.9554600631995571</v>
      </c>
      <c r="E8" s="2">
        <v>113</v>
      </c>
      <c r="G8" cm="1">
        <f t="array" ref="G8">INDEX(_xlfn._TRO_TRAILING(A$2:A$1048576),$E8)</f>
        <v>-4.065907289894918</v>
      </c>
      <c r="H8" cm="1">
        <f t="array" ref="H8">INDEX(_xlfn._TRO_TRAILING(B$2:B$1048576),$E8)</f>
        <v>42.490064078706716</v>
      </c>
      <c r="I8" cm="1">
        <f t="array" ref="I8">INDEX(_xlfn._TRO_TRAILING(C$2:C$1048576),$E8)</f>
        <v>5.0097597941938918</v>
      </c>
      <c r="K8" s="117">
        <v>130931</v>
      </c>
    </row>
    <row r="9" spans="1:22" x14ac:dyDescent="0.25">
      <c r="A9">
        <v>-5.0669446160444629</v>
      </c>
      <c r="B9">
        <v>8.6256147387355746</v>
      </c>
      <c r="C9">
        <v>4.2838897804588001</v>
      </c>
      <c r="E9" s="2">
        <v>112</v>
      </c>
      <c r="G9" cm="1">
        <f t="array" ref="G9">INDEX(_xlfn._TRO_TRAILING(A$2:A$1048576),$E9)</f>
        <v>-4.0233336052813238</v>
      </c>
      <c r="H9" cm="1">
        <f t="array" ref="H9">INDEX(_xlfn._TRO_TRAILING(B$2:B$1048576),$E9)</f>
        <v>42.351318713554846</v>
      </c>
      <c r="I9" cm="1">
        <f t="array" ref="I9">INDEX(_xlfn._TRO_TRAILING(C$2:C$1048576),$E9)</f>
        <v>5.760751110056102</v>
      </c>
      <c r="K9" s="47">
        <v>130925</v>
      </c>
    </row>
    <row r="10" spans="1:22" x14ac:dyDescent="0.25">
      <c r="A10">
        <v>-4.8262488355298254</v>
      </c>
      <c r="B10">
        <v>10.125212436046409</v>
      </c>
      <c r="C10">
        <v>4.1776919099424896</v>
      </c>
      <c r="E10" s="2">
        <v>111</v>
      </c>
      <c r="G10" cm="1">
        <f t="array" ref="G10">INDEX(_xlfn._TRO_TRAILING(A$2:A$1048576),$E10)</f>
        <v>-3.954967524428544</v>
      </c>
      <c r="H10" cm="1">
        <f t="array" ref="H10">INDEX(_xlfn._TRO_TRAILING(B$2:B$1048576),$E10)</f>
        <v>42.359303303383356</v>
      </c>
      <c r="I10" cm="1">
        <f t="array" ref="I10">INDEX(_xlfn._TRO_TRAILING(C$2:C$1048576),$E10)</f>
        <v>6.5317115610237879</v>
      </c>
      <c r="K10" s="118">
        <v>130919</v>
      </c>
    </row>
    <row r="11" spans="1:22" x14ac:dyDescent="0.25">
      <c r="A11">
        <v>-4.729434563053954</v>
      </c>
      <c r="B11">
        <v>10.445338870828504</v>
      </c>
      <c r="C11">
        <v>4.1724188351855833</v>
      </c>
      <c r="E11" s="2">
        <v>110</v>
      </c>
      <c r="G11" cm="1">
        <f t="array" ref="G11">INDEX(_xlfn._TRO_TRAILING(A$2:A$1048576),$E11)</f>
        <v>-3.950256108551446</v>
      </c>
      <c r="H11" cm="1">
        <f t="array" ref="H11">INDEX(_xlfn._TRO_TRAILING(B$2:B$1048576),$E11)</f>
        <v>42.159419338700758</v>
      </c>
      <c r="I11" cm="1">
        <f t="array" ref="I11">INDEX(_xlfn._TRO_TRAILING(C$2:C$1048576),$E11)</f>
        <v>7.2419962744591588</v>
      </c>
      <c r="K11" s="119">
        <v>130913</v>
      </c>
    </row>
    <row r="12" spans="1:22" x14ac:dyDescent="0.25">
      <c r="A12">
        <v>-4.7282079426076606</v>
      </c>
      <c r="B12">
        <v>10.448267153291786</v>
      </c>
      <c r="C12">
        <v>4.1662910080255759</v>
      </c>
      <c r="E12" s="2">
        <v>109</v>
      </c>
      <c r="G12" cm="1">
        <f t="array" ref="G12">INDEX(_xlfn._TRO_TRAILING(A$2:A$1048576),$E12)</f>
        <v>-3.8233531323330587</v>
      </c>
      <c r="H12" cm="1">
        <f t="array" ref="H12">INDEX(_xlfn._TRO_TRAILING(B$2:B$1048576),$E12)</f>
        <v>42.052442532599756</v>
      </c>
      <c r="I12" cm="1">
        <f t="array" ref="I12">INDEX(_xlfn._TRO_TRAILING(C$2:C$1048576),$E12)</f>
        <v>7.9751118795383844</v>
      </c>
      <c r="K12" s="15">
        <v>130907</v>
      </c>
    </row>
    <row r="13" spans="1:22" x14ac:dyDescent="0.25">
      <c r="A13">
        <v>-4.7285168375373425</v>
      </c>
      <c r="B13">
        <v>10.447529735610285</v>
      </c>
      <c r="C13">
        <v>4.1678341542738035</v>
      </c>
      <c r="E13" s="2">
        <v>108</v>
      </c>
      <c r="G13" cm="1">
        <f t="array" ref="G13">INDEX(_xlfn._TRO_TRAILING(A$2:A$1048576),$E13)</f>
        <v>-3.6497655924563128</v>
      </c>
      <c r="H13" cm="1">
        <f t="array" ref="H13">INDEX(_xlfn._TRO_TRAILING(B$2:B$1048576),$E13)</f>
        <v>42.212045737856201</v>
      </c>
      <c r="I13" cm="1">
        <f t="array" ref="I13">INDEX(_xlfn._TRO_TRAILING(C$2:C$1048576),$E13)</f>
        <v>8.7127470155278743</v>
      </c>
      <c r="K13" s="120">
        <v>130901</v>
      </c>
    </row>
    <row r="14" spans="1:22" x14ac:dyDescent="0.25">
      <c r="A14">
        <v>-4.7291256681242713</v>
      </c>
      <c r="B14">
        <v>10.446076288510003</v>
      </c>
      <c r="C14">
        <v>4.1708756889373557</v>
      </c>
      <c r="E14" s="2">
        <v>107</v>
      </c>
      <c r="G14" cm="1">
        <f t="array" ref="G14">INDEX(_xlfn._TRO_TRAILING(A$2:A$1048576),$E14)</f>
        <v>-3.4461445173873235</v>
      </c>
      <c r="H14" cm="1">
        <f t="array" ref="H14">INDEX(_xlfn._TRO_TRAILING(B$2:B$1048576),$E14)</f>
        <v>42.293204275714814</v>
      </c>
      <c r="I14" cm="1">
        <f t="array" ref="I14">INDEX(_xlfn._TRO_TRAILING(C$2:C$1048576),$E14)</f>
        <v>9.4577444588077899</v>
      </c>
      <c r="K14" s="48">
        <v>130895</v>
      </c>
    </row>
    <row r="15" spans="1:22" x14ac:dyDescent="0.25">
      <c r="A15">
        <v>-4.727599112020739</v>
      </c>
      <c r="B15">
        <v>10.44972060039205</v>
      </c>
      <c r="C15">
        <v>4.1632494733620602</v>
      </c>
      <c r="E15" s="2">
        <v>106</v>
      </c>
      <c r="G15" cm="1">
        <f t="array" ref="G15">INDEX(_xlfn._TRO_TRAILING(A$2:A$1048576),$E15)</f>
        <v>-3.2849174790861473</v>
      </c>
      <c r="H15" cm="1">
        <f t="array" ref="H15">INDEX(_xlfn._TRO_TRAILING(B$2:B$1048576),$E15)</f>
        <v>42.285145028437555</v>
      </c>
      <c r="I15" cm="1">
        <f t="array" ref="I15">INDEX(_xlfn._TRO_TRAILING(C$2:C$1048576),$E15)</f>
        <v>10.216994920510437</v>
      </c>
      <c r="K15" s="121">
        <v>130889</v>
      </c>
    </row>
    <row r="16" spans="1:22" x14ac:dyDescent="0.25">
      <c r="A16">
        <v>-4.7300433936408783</v>
      </c>
      <c r="B16">
        <v>10.443885423728233</v>
      </c>
      <c r="C16">
        <v>4.1754603698491115</v>
      </c>
      <c r="E16" s="2">
        <v>105</v>
      </c>
      <c r="G16" cm="1">
        <f t="array" ref="G16">INDEX(_xlfn._TRO_TRAILING(A$2:A$1048576),$E16)</f>
        <v>-3.2656997826731424</v>
      </c>
      <c r="H16" cm="1">
        <f t="array" ref="H16">INDEX(_xlfn._TRO_TRAILING(B$2:B$1048576),$E16)</f>
        <v>42.1407546058226</v>
      </c>
      <c r="I16" cm="1">
        <f t="array" ref="I16">INDEX(_xlfn._TRO_TRAILING(C$2:C$1048576),$E16)</f>
        <v>10.972750496085112</v>
      </c>
      <c r="K16" s="122">
        <v>130883</v>
      </c>
    </row>
    <row r="17" spans="1:11" x14ac:dyDescent="0.25">
      <c r="A17">
        <v>-4.7266813865041311</v>
      </c>
      <c r="B17">
        <v>10.45191146517382</v>
      </c>
      <c r="C17">
        <v>4.1586647924503044</v>
      </c>
      <c r="E17" s="2">
        <v>104</v>
      </c>
      <c r="G17" cm="1">
        <f t="array" ref="G17">INDEX(_xlfn._TRO_TRAILING(A$2:A$1048576),$E17)</f>
        <v>-3.5179880430728394</v>
      </c>
      <c r="H17" cm="1">
        <f t="array" ref="H17">INDEX(_xlfn._TRO_TRAILING(B$2:B$1048576),$E17)</f>
        <v>41.70626945239129</v>
      </c>
      <c r="I17" cm="1">
        <f t="array" ref="I17">INDEX(_xlfn._TRO_TRAILING(C$2:C$1048576),$E17)</f>
        <v>11.539361853505397</v>
      </c>
      <c r="K17" s="49">
        <v>130877</v>
      </c>
    </row>
    <row r="18" spans="1:11" x14ac:dyDescent="0.25">
      <c r="A18">
        <v>-4.7309611191574819</v>
      </c>
      <c r="B18">
        <v>10.44169455894647</v>
      </c>
      <c r="C18">
        <v>4.180045050760854</v>
      </c>
      <c r="E18" s="2">
        <v>103</v>
      </c>
      <c r="G18" cm="1">
        <f t="array" ref="G18">INDEX(_xlfn._TRO_TRAILING(A$2:A$1048576),$E18)</f>
        <v>-3.8771037630609366</v>
      </c>
      <c r="H18" cm="1">
        <f t="array" ref="H18">INDEX(_xlfn._TRO_TRAILING(B$2:B$1048576),$E18)</f>
        <v>41.043776593286267</v>
      </c>
      <c r="I18" cm="1">
        <f t="array" ref="I18">INDEX(_xlfn._TRO_TRAILING(C$2:C$1048576),$E18)</f>
        <v>11.696668914516664</v>
      </c>
      <c r="K18" s="123">
        <v>130871</v>
      </c>
    </row>
    <row r="19" spans="1:11" x14ac:dyDescent="0.25">
      <c r="A19">
        <v>-4.7260219902976166</v>
      </c>
      <c r="B19">
        <v>10.453485626401708</v>
      </c>
      <c r="C19">
        <v>4.1553706471458653</v>
      </c>
      <c r="E19" s="2">
        <v>102</v>
      </c>
      <c r="G19" cm="1">
        <f t="array" ref="G19">INDEX(_xlfn._TRO_TRAILING(A$2:A$1048576),$E19)</f>
        <v>-4.1962096457683877</v>
      </c>
      <c r="H19" cm="1">
        <f t="array" ref="H19">INDEX(_xlfn._TRO_TRAILING(B$2:B$1048576),$E19)</f>
        <v>40.342267757670982</v>
      </c>
      <c r="I19" cm="1">
        <f t="array" ref="I19">INDEX(_xlfn._TRO_TRAILING(C$2:C$1048576),$E19)</f>
        <v>11.788382676882955</v>
      </c>
      <c r="K19" s="50">
        <v>130865</v>
      </c>
    </row>
    <row r="20" spans="1:11" x14ac:dyDescent="0.25">
      <c r="A20">
        <v>-4.7307027898474105</v>
      </c>
      <c r="B20">
        <v>10.442311262500304</v>
      </c>
      <c r="C20">
        <v>4.1787545151536358</v>
      </c>
      <c r="E20" s="2">
        <v>101</v>
      </c>
      <c r="G20" cm="1">
        <f t="array" ref="G20">INDEX(_xlfn._TRO_TRAILING(A$2:A$1048576),$E20)</f>
        <v>-4.5051261072132762</v>
      </c>
      <c r="H20" cm="1">
        <f t="array" ref="H20">INDEX(_xlfn._TRO_TRAILING(B$2:B$1048576),$E20)</f>
        <v>39.757778609798351</v>
      </c>
      <c r="I20" cm="1">
        <f t="array" ref="I20">INDEX(_xlfn._TRO_TRAILING(C$2:C$1048576),$E20)</f>
        <v>12.146503985500914</v>
      </c>
      <c r="K20" s="124">
        <v>130859</v>
      </c>
    </row>
    <row r="21" spans="1:11" x14ac:dyDescent="0.25">
      <c r="A21">
        <v>-4.7269397158141429</v>
      </c>
      <c r="B21">
        <v>10.451294761620133</v>
      </c>
      <c r="C21">
        <v>4.159955328057217</v>
      </c>
      <c r="E21" s="2">
        <v>100</v>
      </c>
      <c r="G21" cm="1">
        <f t="array" ref="G21">INDEX(_xlfn._TRO_TRAILING(A$2:A$1048576),$E21)</f>
        <v>-4.4906430711018501</v>
      </c>
      <c r="H21" cm="1">
        <f t="array" ref="H21">INDEX(_xlfn._TRO_TRAILING(B$2:B$1048576),$E21)</f>
        <v>39.668317640133097</v>
      </c>
      <c r="I21" cm="1">
        <f t="array" ref="I21">INDEX(_xlfn._TRO_TRAILING(C$2:C$1048576),$E21)</f>
        <v>12.914137580081288</v>
      </c>
      <c r="K21" s="125">
        <v>130853</v>
      </c>
    </row>
    <row r="22" spans="1:11" x14ac:dyDescent="0.25">
      <c r="A22">
        <v>-4.7297850643309314</v>
      </c>
      <c r="B22">
        <v>10.444502127281769</v>
      </c>
      <c r="C22">
        <v>4.1741698342425178</v>
      </c>
      <c r="E22" s="2">
        <v>99</v>
      </c>
      <c r="G22" cm="1">
        <f t="array" ref="G22">INDEX(_xlfn._TRO_TRAILING(A$2:A$1048576),$E22)</f>
        <v>-4.4970181253158028</v>
      </c>
      <c r="H22" cm="1">
        <f t="array" ref="H22">INDEX(_xlfn._TRO_TRAILING(B$2:B$1048576),$E22)</f>
        <v>39.521213926902647</v>
      </c>
      <c r="I22" cm="1">
        <f t="array" ref="I22">INDEX(_xlfn._TRO_TRAILING(C$2:C$1048576),$E22)</f>
        <v>13.669010295363153</v>
      </c>
      <c r="K22" s="16">
        <v>130847</v>
      </c>
    </row>
    <row r="23" spans="1:11" x14ac:dyDescent="0.25">
      <c r="A23">
        <v>-4.7278574413306185</v>
      </c>
      <c r="B23">
        <v>10.449103896838672</v>
      </c>
      <c r="C23">
        <v>4.1645400089683218</v>
      </c>
      <c r="E23" s="2">
        <v>98</v>
      </c>
      <c r="G23" cm="1">
        <f t="array" ref="G23">INDEX(_xlfn._TRO_TRAILING(A$2:A$1048576),$E23)</f>
        <v>-4.5589589277907203</v>
      </c>
      <c r="H23" cm="1">
        <f t="array" ref="H23">INDEX(_xlfn._TRO_TRAILING(B$2:B$1048576),$E23)</f>
        <v>39.03222617013197</v>
      </c>
      <c r="I23" cm="1">
        <f t="array" ref="I23">INDEX(_xlfn._TRO_TRAILING(C$2:C$1048576),$E23)</f>
        <v>14.254679946403305</v>
      </c>
      <c r="K23" s="126">
        <v>130841</v>
      </c>
    </row>
    <row r="24" spans="1:11" x14ac:dyDescent="0.25">
      <c r="A24">
        <v>-4.7288673388144531</v>
      </c>
      <c r="B24">
        <v>10.446692992063234</v>
      </c>
      <c r="C24">
        <v>4.1695851533314006</v>
      </c>
      <c r="E24" s="2">
        <v>97</v>
      </c>
      <c r="G24" cm="1">
        <f t="array" ref="G24">INDEX(_xlfn._TRO_TRAILING(A$2:A$1048576),$E24)</f>
        <v>-4.5434320722488533</v>
      </c>
      <c r="H24" cm="1">
        <f t="array" ref="H24">INDEX(_xlfn._TRO_TRAILING(B$2:B$1048576),$E24)</f>
        <v>38.760323767430812</v>
      </c>
      <c r="I24" cm="1">
        <f t="array" ref="I24">INDEX(_xlfn._TRO_TRAILING(C$2:C$1048576),$E24)</f>
        <v>14.974123889630617</v>
      </c>
      <c r="K24" s="51">
        <v>130835</v>
      </c>
    </row>
    <row r="25" spans="1:11" x14ac:dyDescent="0.25">
      <c r="A25">
        <v>-4.7287751668470985</v>
      </c>
      <c r="B25">
        <v>10.446913032057207</v>
      </c>
      <c r="C25">
        <v>4.1691246898794398</v>
      </c>
      <c r="E25" s="2">
        <v>96</v>
      </c>
      <c r="G25" cm="1">
        <f t="array" ref="G25">INDEX(_xlfn._TRO_TRAILING(A$2:A$1048576),$E25)</f>
        <v>-4.6062746151618601</v>
      </c>
      <c r="H25" cm="1">
        <f t="array" ref="H25">INDEX(_xlfn._TRO_TRAILING(B$2:B$1048576),$E25)</f>
        <v>38.430260735491615</v>
      </c>
      <c r="I25" cm="1">
        <f t="array" ref="I25">INDEX(_xlfn._TRO_TRAILING(C$2:C$1048576),$E25)</f>
        <v>15.669907904564305</v>
      </c>
      <c r="K25" s="127">
        <v>130829</v>
      </c>
    </row>
    <row r="26" spans="1:11" x14ac:dyDescent="0.25">
      <c r="A26">
        <v>-4.727949613297973</v>
      </c>
      <c r="B26">
        <v>10.4488838568447</v>
      </c>
      <c r="C26">
        <v>4.1650004724202816</v>
      </c>
      <c r="E26" s="2">
        <v>95</v>
      </c>
      <c r="G26" cm="1">
        <f t="array" ref="G26">INDEX(_xlfn._TRO_TRAILING(A$2:A$1048576),$E26)</f>
        <v>-4.6998745641485895</v>
      </c>
      <c r="H26" cm="1">
        <f t="array" ref="H26">INDEX(_xlfn._TRO_TRAILING(B$2:B$1048576),$E26)</f>
        <v>38.04964056454962</v>
      </c>
      <c r="I26" cm="1">
        <f t="array" ref="I26">INDEX(_xlfn._TRO_TRAILING(C$2:C$1048576),$E26)</f>
        <v>16.334304863878202</v>
      </c>
      <c r="K26" s="128">
        <v>130823</v>
      </c>
    </row>
    <row r="27" spans="1:11" x14ac:dyDescent="0.25">
      <c r="A27">
        <v>-4.7296928923635768</v>
      </c>
      <c r="B27">
        <v>10.444722167275742</v>
      </c>
      <c r="C27">
        <v>4.1737093707905579</v>
      </c>
      <c r="E27" s="2">
        <v>94</v>
      </c>
      <c r="G27" cm="1">
        <f t="array" ref="G27">INDEX(_xlfn._TRO_TRAILING(A$2:A$1048576),$E27)</f>
        <v>-4.7222737547462943</v>
      </c>
      <c r="H27" cm="1">
        <f t="array" ref="H27">INDEX(_xlfn._TRO_TRAILING(B$2:B$1048576),$E27)</f>
        <v>37.784235262202948</v>
      </c>
      <c r="I27" cm="1">
        <f t="array" ref="I27">INDEX(_xlfn._TRO_TRAILING(C$2:C$1048576),$E27)</f>
        <v>17.061308667252284</v>
      </c>
      <c r="K27" s="52">
        <v>130817</v>
      </c>
    </row>
    <row r="28" spans="1:11" x14ac:dyDescent="0.25">
      <c r="A28">
        <v>-4.7270318877814956</v>
      </c>
      <c r="B28">
        <v>10.451074721626163</v>
      </c>
      <c r="C28">
        <v>4.1604157915091697</v>
      </c>
      <c r="E28" s="2">
        <v>93</v>
      </c>
      <c r="G28" cm="1">
        <f t="array" ref="G28">INDEX(_xlfn._TRO_TRAILING(A$2:A$1048576),$E28)</f>
        <v>-4.7303815648589707</v>
      </c>
      <c r="H28" cm="1">
        <f t="array" ref="H28">INDEX(_xlfn._TRO_TRAILING(B$2:B$1048576),$E28)</f>
        <v>37.544400360695185</v>
      </c>
      <c r="I28" cm="1">
        <f t="array" ref="I28">INDEX(_xlfn._TRO_TRAILING(C$2:C$1048576),$E28)</f>
        <v>17.798645612345101</v>
      </c>
      <c r="K28" s="129">
        <v>524033</v>
      </c>
    </row>
    <row r="29" spans="1:11" x14ac:dyDescent="0.25">
      <c r="A29">
        <v>-4.7306106178800551</v>
      </c>
      <c r="B29">
        <v>10.442531302494281</v>
      </c>
      <c r="C29">
        <v>4.1782940517016698</v>
      </c>
      <c r="E29" s="2">
        <v>92</v>
      </c>
      <c r="G29" cm="1">
        <f t="array" ref="G29">INDEX(_xlfn._TRO_TRAILING(A$2:A$1048576),$E29)</f>
        <v>-4.8020920119080248</v>
      </c>
      <c r="H29" cm="1">
        <f t="array" ref="H29">INDEX(_xlfn._TRO_TRAILING(B$2:B$1048576),$E29)</f>
        <v>37.147636973177129</v>
      </c>
      <c r="I29" cm="1">
        <f t="array" ref="I29">INDEX(_xlfn._TRO_TRAILING(C$2:C$1048576),$E29)</f>
        <v>18.462487983004216</v>
      </c>
      <c r="K29" s="53">
        <v>917249</v>
      </c>
    </row>
    <row r="30" spans="1:11" x14ac:dyDescent="0.25">
      <c r="A30">
        <v>-4.7261141622650147</v>
      </c>
      <c r="B30">
        <v>10.45326558640763</v>
      </c>
      <c r="C30">
        <v>4.1558311105980463</v>
      </c>
      <c r="E30" s="2">
        <v>91</v>
      </c>
      <c r="G30" cm="1">
        <f t="array" ref="G30">INDEX(_xlfn._TRO_TRAILING(A$2:A$1048576),$E30)</f>
        <v>-4.8102518205416853</v>
      </c>
      <c r="H30" cm="1">
        <f t="array" ref="H30">INDEX(_xlfn._TRO_TRAILING(B$2:B$1048576),$E30)</f>
        <v>36.92267882333708</v>
      </c>
      <c r="I30" cm="1">
        <f t="array" ref="I30">INDEX(_xlfn._TRO_TRAILING(C$2:C$1048576),$E30)</f>
        <v>19.204428205005705</v>
      </c>
      <c r="K30" s="130">
        <v>1310465</v>
      </c>
    </row>
    <row r="31" spans="1:11" x14ac:dyDescent="0.25">
      <c r="A31">
        <v>-5.2451429916010559</v>
      </c>
      <c r="B31">
        <v>9.6821572951725923</v>
      </c>
      <c r="C31">
        <v>4.9824187477082731</v>
      </c>
      <c r="E31" s="2">
        <v>90</v>
      </c>
      <c r="G31" cm="1">
        <f t="array" ref="G31">INDEX(_xlfn._TRO_TRAILING(A$2:A$1048576),$E31)</f>
        <v>-4.8267938702636313</v>
      </c>
      <c r="H31" cm="1">
        <f t="array" ref="H31">INDEX(_xlfn._TRO_TRAILING(B$2:B$1048576),$E31)</f>
        <v>36.677575928260687</v>
      </c>
      <c r="I31" cm="1">
        <f t="array" ref="I31">INDEX(_xlfn._TRO_TRAILING(C$2:C$1048576),$E31)</f>
        <v>19.939402611703152</v>
      </c>
      <c r="K31" s="131">
        <v>1703681</v>
      </c>
    </row>
    <row r="32" spans="1:11" x14ac:dyDescent="0.25">
      <c r="A32">
        <v>-5.699509349937717</v>
      </c>
      <c r="B32">
        <v>9.6604995013668429</v>
      </c>
      <c r="C32">
        <v>6.2093984452955331</v>
      </c>
      <c r="E32" s="2">
        <v>89</v>
      </c>
      <c r="G32" cm="1">
        <f t="array" ref="G32">INDEX(_xlfn._TRO_TRAILING(A$2:A$1048576),$E32)</f>
        <v>-4.8497132283936359</v>
      </c>
      <c r="H32" cm="1">
        <f t="array" ref="H32">INDEX(_xlfn._TRO_TRAILING(B$2:B$1048576),$E32)</f>
        <v>36.432488767721381</v>
      </c>
      <c r="I32" cm="1">
        <f t="array" ref="I32">INDEX(_xlfn._TRO_TRAILING(C$2:C$1048576),$E32)</f>
        <v>20.671427755701853</v>
      </c>
      <c r="K32" s="17">
        <v>2096897</v>
      </c>
    </row>
    <row r="33" spans="1:11" x14ac:dyDescent="0.25">
      <c r="A33">
        <v>-6.1459035296846469</v>
      </c>
      <c r="B33">
        <v>9.1279746838676896</v>
      </c>
      <c r="C33">
        <v>7.5758152995255568</v>
      </c>
      <c r="E33" s="2">
        <v>88</v>
      </c>
      <c r="G33" cm="1">
        <f t="array" ref="G33">INDEX(_xlfn._TRO_TRAILING(A$2:A$1048576),$E33)</f>
        <v>-5.0467239302723588</v>
      </c>
      <c r="H33" cm="1">
        <f t="array" ref="H33">INDEX(_xlfn._TRO_TRAILING(B$2:B$1048576),$E33)</f>
        <v>35.913832334687228</v>
      </c>
      <c r="I33" cm="1">
        <f t="array" ref="I33">INDEX(_xlfn._TRO_TRAILING(C$2:C$1048576),$E33)</f>
        <v>21.201062291768604</v>
      </c>
      <c r="K33" s="132">
        <v>2490113</v>
      </c>
    </row>
    <row r="34" spans="1:11" x14ac:dyDescent="0.25">
      <c r="A34">
        <v>-6.5680696682567588</v>
      </c>
      <c r="B34">
        <v>9.0393457442379876</v>
      </c>
      <c r="C34">
        <v>9.0555807851379342</v>
      </c>
      <c r="E34" s="2">
        <v>87</v>
      </c>
      <c r="G34" cm="1">
        <f t="array" ref="G34">INDEX(_xlfn._TRO_TRAILING(A$2:A$1048576),$E34)</f>
        <v>-5.1203544869356357</v>
      </c>
      <c r="H34" cm="1">
        <f t="array" ref="H34">INDEX(_xlfn._TRO_TRAILING(B$2:B$1048576),$E34)</f>
        <v>35.559527106398022</v>
      </c>
      <c r="I34" cm="1">
        <f t="array" ref="I34">INDEX(_xlfn._TRO_TRAILING(C$2:C$1048576),$E34)</f>
        <v>21.876834397102073</v>
      </c>
      <c r="K34" s="27">
        <v>2883329</v>
      </c>
    </row>
    <row r="35" spans="1:11" x14ac:dyDescent="0.25">
      <c r="A35">
        <v>-7.0097378403216188</v>
      </c>
      <c r="B35">
        <v>9.213142126160621</v>
      </c>
      <c r="C35">
        <v>10.525611101847611</v>
      </c>
      <c r="E35" s="2">
        <v>86</v>
      </c>
      <c r="G35" cm="1">
        <f t="array" ref="G35">INDEX(_xlfn._TRO_TRAILING(A$2:A$1048576),$E35)</f>
        <v>-5.1459233859640356</v>
      </c>
      <c r="H35" cm="1">
        <f t="array" ref="H35">INDEX(_xlfn._TRO_TRAILING(B$2:B$1048576),$E35)</f>
        <v>35.257060010221601</v>
      </c>
      <c r="I35" cm="1">
        <f t="array" ref="I35">INDEX(_xlfn._TRO_TRAILING(C$2:C$1048576),$E35)</f>
        <v>22.591225555805668</v>
      </c>
      <c r="K35" s="133">
        <v>3276545</v>
      </c>
    </row>
    <row r="36" spans="1:11" x14ac:dyDescent="0.25">
      <c r="A36">
        <v>-7.0965479736732435</v>
      </c>
      <c r="B36">
        <v>10.347811388521189</v>
      </c>
      <c r="C36">
        <v>11.201049377494256</v>
      </c>
      <c r="E36" s="2">
        <v>85</v>
      </c>
      <c r="G36" cm="1">
        <f t="array" ref="G36">INDEX(_xlfn._TRO_TRAILING(A$2:A$1048576),$E36)</f>
        <v>-5.2146642956777924</v>
      </c>
      <c r="H36" cm="1">
        <f t="array" ref="H36">INDEX(_xlfn._TRO_TRAILING(B$2:B$1048576),$E36)</f>
        <v>34.898960745077325</v>
      </c>
      <c r="I36" cm="1">
        <f t="array" ref="I36">INDEX(_xlfn._TRO_TRAILING(C$2:C$1048576),$E36)</f>
        <v>23.2765562136989</v>
      </c>
      <c r="K36" s="134">
        <v>3669761</v>
      </c>
    </row>
    <row r="37" spans="1:11" x14ac:dyDescent="0.25">
      <c r="A37">
        <v>-6.7834318816123069</v>
      </c>
      <c r="B37">
        <v>11.793428667425328</v>
      </c>
      <c r="C37">
        <v>10.754707502887436</v>
      </c>
      <c r="E37" s="2">
        <v>84</v>
      </c>
      <c r="G37" cm="1">
        <f t="array" ref="G37">INDEX(_xlfn._TRO_TRAILING(A$2:A$1048576),$E37)</f>
        <v>-5.2130888285899122</v>
      </c>
      <c r="H37" cm="1">
        <f t="array" ref="H37">INDEX(_xlfn._TRO_TRAILING(B$2:B$1048576),$E37)</f>
        <v>34.583929492685058</v>
      </c>
      <c r="I37" cm="1">
        <f t="array" ref="I37">INDEX(_xlfn._TRO_TRAILING(C$2:C$1048576),$E37)</f>
        <v>23.986575784782481</v>
      </c>
      <c r="K37" s="54">
        <v>4062977</v>
      </c>
    </row>
    <row r="38" spans="1:11" x14ac:dyDescent="0.25">
      <c r="A38">
        <v>-6.2117835280822948</v>
      </c>
      <c r="B38">
        <v>13.029528982088747</v>
      </c>
      <c r="C38">
        <v>10.063824806927144</v>
      </c>
      <c r="E38" s="2">
        <v>83</v>
      </c>
      <c r="G38" cm="1">
        <f t="array" ref="G38">INDEX(_xlfn._TRO_TRAILING(A$2:A$1048576),$E38)</f>
        <v>-5.2741648427603014</v>
      </c>
      <c r="H38" cm="1">
        <f t="array" ref="H38">INDEX(_xlfn._TRO_TRAILING(B$2:B$1048576),$E38)</f>
        <v>34.164964447730867</v>
      </c>
      <c r="I38" cm="1">
        <f t="array" ref="I38">INDEX(_xlfn._TRO_TRAILING(C$2:C$1048576),$E38)</f>
        <v>24.631818081052621</v>
      </c>
      <c r="K38" s="135">
        <v>4456193</v>
      </c>
    </row>
    <row r="39" spans="1:11" x14ac:dyDescent="0.25">
      <c r="A39">
        <v>-6.6323817839237389</v>
      </c>
      <c r="B39">
        <v>12.83186272530625</v>
      </c>
      <c r="C39">
        <v>11.335703035899147</v>
      </c>
      <c r="E39" s="2">
        <v>82</v>
      </c>
      <c r="G39" cm="1">
        <f t="array" ref="G39">INDEX(_xlfn._TRO_TRAILING(A$2:A$1048576),$E39)</f>
        <v>-5.3181135022530484</v>
      </c>
      <c r="H39" cm="1">
        <f t="array" ref="H39">INDEX(_xlfn._TRO_TRAILING(B$2:B$1048576),$E39)</f>
        <v>33.768774465150535</v>
      </c>
      <c r="I39" cm="1">
        <f t="array" ref="I39">INDEX(_xlfn._TRO_TRAILING(C$2:C$1048576),$E39)</f>
        <v>25.295330317473656</v>
      </c>
      <c r="K39" s="55">
        <v>4849409</v>
      </c>
    </row>
    <row r="40" spans="1:11" x14ac:dyDescent="0.25">
      <c r="A40">
        <v>-7.0055201736597521</v>
      </c>
      <c r="B40">
        <v>12.463669765550497</v>
      </c>
      <c r="C40">
        <v>12.774336706039614</v>
      </c>
      <c r="E40" s="2">
        <v>81</v>
      </c>
      <c r="G40" cm="1">
        <f t="array" ref="G40">INDEX(_xlfn._TRO_TRAILING(A$2:A$1048576),$E40)</f>
        <v>-5.3457050919740539</v>
      </c>
      <c r="H40" cm="1">
        <f t="array" ref="H40">INDEX(_xlfn._TRO_TRAILING(B$2:B$1048576),$E40)</f>
        <v>33.391627717479423</v>
      </c>
      <c r="I40" cm="1">
        <f t="array" ref="I40">INDEX(_xlfn._TRO_TRAILING(C$2:C$1048576),$E40)</f>
        <v>25.972200736383797</v>
      </c>
      <c r="K40" s="136">
        <v>5242625</v>
      </c>
    </row>
    <row r="41" spans="1:11" x14ac:dyDescent="0.25">
      <c r="A41">
        <v>-7.3188983630736786</v>
      </c>
      <c r="B41">
        <v>12.350339081273514</v>
      </c>
      <c r="C41">
        <v>14.275044141228747</v>
      </c>
      <c r="E41" s="2">
        <v>80</v>
      </c>
      <c r="G41" cm="1">
        <f t="array" ref="G41">INDEX(_xlfn._TRO_TRAILING(A$2:A$1048576),$E41)</f>
        <v>-5.4198006421718947</v>
      </c>
      <c r="H41" cm="1">
        <f t="array" ref="H41">INDEX(_xlfn._TRO_TRAILING(B$2:B$1048576),$E41)</f>
        <v>32.948648042509916</v>
      </c>
      <c r="I41" cm="1">
        <f t="array" ref="I41">INDEX(_xlfn._TRO_TRAILING(C$2:C$1048576),$E41)</f>
        <v>26.605783957972243</v>
      </c>
      <c r="K41" s="137">
        <v>5635841</v>
      </c>
    </row>
    <row r="42" spans="1:11" x14ac:dyDescent="0.25">
      <c r="A42">
        <v>-7.8295478674430221</v>
      </c>
      <c r="B42">
        <v>12.709353371379056</v>
      </c>
      <c r="C42">
        <v>15.685753586041667</v>
      </c>
      <c r="E42" s="2">
        <v>79</v>
      </c>
      <c r="G42" cm="1">
        <f t="array" ref="G42">INDEX(_xlfn._TRO_TRAILING(A$2:A$1048576),$E42)</f>
        <v>-5.4735906878860536</v>
      </c>
      <c r="H42" cm="1">
        <f t="array" ref="H42">INDEX(_xlfn._TRO_TRAILING(B$2:B$1048576),$E42)</f>
        <v>32.53007383407936</v>
      </c>
      <c r="I42" cm="1">
        <f t="array" ref="I42">INDEX(_xlfn._TRO_TRAILING(C$2:C$1048576),$E42)</f>
        <v>27.258429402232562</v>
      </c>
      <c r="K42" s="18">
        <v>6029057</v>
      </c>
    </row>
    <row r="43" spans="1:11" x14ac:dyDescent="0.25">
      <c r="A43">
        <v>-7.9043198586135475</v>
      </c>
      <c r="B43">
        <v>13.137684179346092</v>
      </c>
      <c r="C43">
        <v>17.173508617662741</v>
      </c>
      <c r="E43" s="2">
        <v>78</v>
      </c>
      <c r="G43" cm="1">
        <f t="array" ref="G43">INDEX(_xlfn._TRO_TRAILING(A$2:A$1048576),$E43)</f>
        <v>-5.5325448429423867</v>
      </c>
      <c r="H43" cm="1">
        <f t="array" ref="H43">INDEX(_xlfn._TRO_TRAILING(B$2:B$1048576),$E43)</f>
        <v>32.108638187819707</v>
      </c>
      <c r="I43" cm="1">
        <f t="array" ref="I43">INDEX(_xlfn._TRO_TRAILING(C$2:C$1048576),$E43)</f>
        <v>27.908508649874477</v>
      </c>
      <c r="K43" s="138">
        <v>6422273</v>
      </c>
    </row>
    <row r="44" spans="1:11" x14ac:dyDescent="0.25">
      <c r="A44">
        <v>-7.9649374559350798</v>
      </c>
      <c r="B44">
        <v>14.181303432232092</v>
      </c>
      <c r="C44">
        <v>18.191016314732337</v>
      </c>
      <c r="E44" s="2">
        <v>77</v>
      </c>
      <c r="G44" cm="1">
        <f t="array" ref="G44">INDEX(_xlfn._TRO_TRAILING(A$2:A$1048576),$E44)</f>
        <v>-5.5927440194246358</v>
      </c>
      <c r="H44" cm="1">
        <f t="array" ref="H44">INDEX(_xlfn._TRO_TRAILING(B$2:B$1048576),$E44)</f>
        <v>31.687409517155182</v>
      </c>
      <c r="I44" cm="1">
        <f t="array" ref="I44">INDEX(_xlfn._TRO_TRAILING(C$2:C$1048576),$E44)</f>
        <v>28.55828522335004</v>
      </c>
      <c r="K44" s="56">
        <v>6815489</v>
      </c>
    </row>
    <row r="45" spans="1:11" x14ac:dyDescent="0.25">
      <c r="A45">
        <v>-7.8311787282194478</v>
      </c>
      <c r="B45">
        <v>15.620007884664322</v>
      </c>
      <c r="C45">
        <v>17.704465341732721</v>
      </c>
      <c r="E45" s="2">
        <v>76</v>
      </c>
      <c r="G45" cm="1">
        <f t="array" ref="G45">INDEX(_xlfn._TRO_TRAILING(A$2:A$1048576),$E45)</f>
        <v>-5.6641568434297769</v>
      </c>
      <c r="H45" cm="1">
        <f t="array" ref="H45">INDEX(_xlfn._TRO_TRAILING(B$2:B$1048576),$E45)</f>
        <v>31.248073261934667</v>
      </c>
      <c r="I45" cm="1">
        <f t="array" ref="I45">INDEX(_xlfn._TRO_TRAILING(C$2:C$1048576),$E45)</f>
        <v>29.193870839981329</v>
      </c>
      <c r="K45" s="139">
        <v>7208705</v>
      </c>
    </row>
    <row r="46" spans="1:11" x14ac:dyDescent="0.25">
      <c r="A46">
        <v>-7.544358000322843</v>
      </c>
      <c r="B46">
        <v>16.863081483709585</v>
      </c>
      <c r="C46">
        <v>16.844340690943806</v>
      </c>
      <c r="E46" s="2">
        <v>75</v>
      </c>
      <c r="G46" cm="1">
        <f t="array" ref="G46">INDEX(_xlfn._TRO_TRAILING(A$2:A$1048576),$E46)</f>
        <v>-5.7421790179141903</v>
      </c>
      <c r="H46" cm="1">
        <f t="array" ref="H46">INDEX(_xlfn._TRO_TRAILING(B$2:B$1048576),$E46)</f>
        <v>30.798751720067351</v>
      </c>
      <c r="I46" cm="1">
        <f t="array" ref="I46">INDEX(_xlfn._TRO_TRAILING(C$2:C$1048576),$E46)</f>
        <v>29.823297273914132</v>
      </c>
      <c r="K46" s="140">
        <v>7601921</v>
      </c>
    </row>
    <row r="47" spans="1:11" x14ac:dyDescent="0.25">
      <c r="A47">
        <v>-7.3595931872289286</v>
      </c>
      <c r="B47">
        <v>17.426402469433199</v>
      </c>
      <c r="C47">
        <v>16.919705250272518</v>
      </c>
      <c r="E47" s="2">
        <v>74</v>
      </c>
      <c r="G47" cm="1">
        <f t="array" ref="G47">INDEX(_xlfn._TRO_TRAILING(A$2:A$1048576),$E47)</f>
        <v>-5.7757422567665415</v>
      </c>
      <c r="H47" cm="1">
        <f t="array" ref="H47">INDEX(_xlfn._TRO_TRAILING(B$2:B$1048576),$E47)</f>
        <v>30.449247801523725</v>
      </c>
      <c r="I47" cm="1">
        <f t="array" ref="I47">INDEX(_xlfn._TRO_TRAILING(C$2:C$1048576),$E47)</f>
        <v>30.512990696707011</v>
      </c>
      <c r="K47" s="28">
        <v>7995137</v>
      </c>
    </row>
    <row r="48" spans="1:11" x14ac:dyDescent="0.25">
      <c r="A48">
        <v>-7.4255048394966501</v>
      </c>
      <c r="B48">
        <v>17.627529768878631</v>
      </c>
      <c r="C48">
        <v>18.451548093460577</v>
      </c>
      <c r="E48" s="2">
        <v>73</v>
      </c>
      <c r="G48" cm="1">
        <f t="array" ref="G48">INDEX(_xlfn._TRO_TRAILING(A$2:A$1048576),$E48)</f>
        <v>-5.8411205688658656</v>
      </c>
      <c r="H48" cm="1">
        <f t="array" ref="H48">INDEX(_xlfn._TRO_TRAILING(B$2:B$1048576),$E48)</f>
        <v>30.034365175201721</v>
      </c>
      <c r="I48" cm="1">
        <f t="array" ref="I48">INDEX(_xlfn._TRO_TRAILING(C$2:C$1048576),$E48)</f>
        <v>31.162703957516307</v>
      </c>
      <c r="K48" s="141">
        <v>8388353</v>
      </c>
    </row>
    <row r="49" spans="1:11" x14ac:dyDescent="0.25">
      <c r="A49">
        <v>-7.5009471189238788</v>
      </c>
      <c r="B49">
        <v>17.678760782069869</v>
      </c>
      <c r="C49">
        <v>19.997950871973938</v>
      </c>
      <c r="E49" s="2">
        <v>72</v>
      </c>
      <c r="G49" cm="1">
        <f t="array" ref="G49">INDEX(_xlfn._TRO_TRAILING(A$2:A$1048576),$E49)</f>
        <v>-5.9738103098756348</v>
      </c>
      <c r="H49" cm="1">
        <f t="array" ref="H49">INDEX(_xlfn._TRO_TRAILING(B$2:B$1048576),$E49)</f>
        <v>29.468045277998428</v>
      </c>
      <c r="I49" cm="1">
        <f t="array" ref="I49">INDEX(_xlfn._TRO_TRAILING(C$2:C$1048576),$E49)</f>
        <v>31.676345986702412</v>
      </c>
      <c r="K49" s="57">
        <v>8716033</v>
      </c>
    </row>
    <row r="50" spans="1:11" x14ac:dyDescent="0.25">
      <c r="A50">
        <v>-7.4950970739921878</v>
      </c>
      <c r="B50">
        <v>17.552701081557981</v>
      </c>
      <c r="C50">
        <v>21.536587418236536</v>
      </c>
      <c r="E50" s="2">
        <v>71</v>
      </c>
      <c r="G50" cm="1">
        <f t="array" ref="G50">INDEX(_xlfn._TRO_TRAILING(A$2:A$1048576),$E50)</f>
        <v>-6.010756249765997</v>
      </c>
      <c r="H50" cm="1">
        <f t="array" ref="H50">INDEX(_xlfn._TRO_TRAILING(B$2:B$1048576),$E50)</f>
        <v>28.92437516254865</v>
      </c>
      <c r="I50" cm="1">
        <f t="array" ref="I50">INDEX(_xlfn._TRO_TRAILING(C$2:C$1048576),$E50)</f>
        <v>32.226251494694381</v>
      </c>
      <c r="K50" s="142">
        <v>9109249</v>
      </c>
    </row>
    <row r="51" spans="1:11" x14ac:dyDescent="0.25">
      <c r="A51">
        <v>-7.524612153419989</v>
      </c>
      <c r="B51">
        <v>17.647351766388358</v>
      </c>
      <c r="C51">
        <v>23.070206504966087</v>
      </c>
      <c r="E51" s="2">
        <v>70</v>
      </c>
      <c r="G51" cm="1">
        <f t="array" ref="G51">INDEX(_xlfn._TRO_TRAILING(A$2:A$1048576),$E51)</f>
        <v>-5.9947201110747663</v>
      </c>
      <c r="H51" cm="1">
        <f t="array" ref="H51">INDEX(_xlfn._TRO_TRAILING(B$2:B$1048576),$E51)</f>
        <v>28.398837549045286</v>
      </c>
      <c r="I51" cm="1">
        <f t="array" ref="I51">INDEX(_xlfn._TRO_TRAILING(C$2:C$1048576),$E51)</f>
        <v>32.797553259187204</v>
      </c>
      <c r="K51" s="143">
        <v>9502465</v>
      </c>
    </row>
    <row r="52" spans="1:11" x14ac:dyDescent="0.25">
      <c r="A52">
        <v>-7.3793842013848252</v>
      </c>
      <c r="B52">
        <v>18.594929331401559</v>
      </c>
      <c r="C52">
        <v>24.216095462323594</v>
      </c>
      <c r="E52" s="2">
        <v>69</v>
      </c>
      <c r="G52" cm="1">
        <f t="array" ref="G52">INDEX(_xlfn._TRO_TRAILING(A$2:A$1048576),$E52)</f>
        <v>-5.9770611031010308</v>
      </c>
      <c r="H52" cm="1">
        <f t="array" ref="H52">INDEX(_xlfn._TRO_TRAILING(B$2:B$1048576),$E52)</f>
        <v>27.860280082950108</v>
      </c>
      <c r="I52" cm="1">
        <f t="array" ref="I52">INDEX(_xlfn._TRO_TRAILING(C$2:C$1048576),$E52)</f>
        <v>33.357480316598682</v>
      </c>
      <c r="K52" s="19">
        <v>9895681</v>
      </c>
    </row>
    <row r="53" spans="1:11" x14ac:dyDescent="0.25">
      <c r="A53">
        <v>-7.196449625628798</v>
      </c>
      <c r="B53">
        <v>19.626652699457949</v>
      </c>
      <c r="C53">
        <v>25.195434680425393</v>
      </c>
      <c r="E53" s="2">
        <v>68</v>
      </c>
      <c r="G53" cm="1">
        <f t="array" ref="G53">INDEX(_xlfn._TRO_TRAILING(A$2:A$1048576),$E53)</f>
        <v>-5.9594169450661285</v>
      </c>
      <c r="H53" cm="1">
        <f t="array" ref="H53">INDEX(_xlfn._TRO_TRAILING(B$2:B$1048576),$E53)</f>
        <v>27.32241791663391</v>
      </c>
      <c r="I53" cm="1">
        <f t="array" ref="I53">INDEX(_xlfn._TRO_TRAILING(C$2:C$1048576),$E53)</f>
        <v>33.916727207393585</v>
      </c>
      <c r="K53" s="144">
        <v>10288897</v>
      </c>
    </row>
    <row r="54" spans="1:11" x14ac:dyDescent="0.25">
      <c r="A54">
        <v>-7.1075655614317164</v>
      </c>
      <c r="B54">
        <v>19.92766984465176</v>
      </c>
      <c r="C54">
        <v>26.70299918479666</v>
      </c>
      <c r="E54" s="2">
        <v>67</v>
      </c>
      <c r="G54" cm="1">
        <f t="array" ref="G54">INDEX(_xlfn._TRO_TRAILING(A$2:A$1048576),$E54)</f>
        <v>-5.9477151568154767</v>
      </c>
      <c r="H54" cm="1">
        <f t="array" ref="H54">INDEX(_xlfn._TRO_TRAILING(B$2:B$1048576),$E54)</f>
        <v>26.759305892023363</v>
      </c>
      <c r="I54" cm="1">
        <f t="array" ref="I54">INDEX(_xlfn._TRO_TRAILING(C$2:C$1048576),$E54)</f>
        <v>34.450674708972414</v>
      </c>
      <c r="K54" s="58">
        <v>10682113</v>
      </c>
    </row>
    <row r="55" spans="1:11" x14ac:dyDescent="0.25">
      <c r="A55">
        <v>-7.0291302128025519</v>
      </c>
      <c r="B55">
        <v>20.096145818709779</v>
      </c>
      <c r="C55">
        <v>28.230186513193136</v>
      </c>
      <c r="E55" s="2">
        <v>66</v>
      </c>
      <c r="G55" cm="1">
        <f t="array" ref="G55">INDEX(_xlfn._TRO_TRAILING(A$2:A$1048576),$E55)</f>
        <v>-5.9412621628107196</v>
      </c>
      <c r="H55" cm="1">
        <f t="array" ref="H55">INDEX(_xlfn._TRO_TRAILING(B$2:B$1048576),$E55)</f>
        <v>26.165443734369994</v>
      </c>
      <c r="I55" cm="1">
        <f t="array" ref="I55">INDEX(_xlfn._TRO_TRAILING(C$2:C$1048576),$E55)</f>
        <v>34.95216197402894</v>
      </c>
      <c r="K55" s="145">
        <v>11075329</v>
      </c>
    </row>
    <row r="56" spans="1:11" x14ac:dyDescent="0.25">
      <c r="A56">
        <v>-6.95688219084371</v>
      </c>
      <c r="B56">
        <v>20.22055996101443</v>
      </c>
      <c r="C56">
        <v>29.762643536734473</v>
      </c>
      <c r="E56" s="2">
        <v>65</v>
      </c>
      <c r="G56" cm="1">
        <f t="array" ref="G56">INDEX(_xlfn._TRO_TRAILING(A$2:A$1048576),$E56)</f>
        <v>-5.9367473060387104</v>
      </c>
      <c r="H56" cm="1">
        <f t="array" ref="H56">INDEX(_xlfn._TRO_TRAILING(B$2:B$1048576),$E56)</f>
        <v>25.554439815052323</v>
      </c>
      <c r="I56" cm="1">
        <f t="array" ref="I56">INDEX(_xlfn._TRO_TRAILING(C$2:C$1048576),$E56)</f>
        <v>35.432199401851207</v>
      </c>
      <c r="K56" s="146">
        <v>11468545</v>
      </c>
    </row>
    <row r="57" spans="1:11" x14ac:dyDescent="0.25">
      <c r="A57">
        <v>-6.8081637703669227</v>
      </c>
      <c r="B57">
        <v>20.355868094070843</v>
      </c>
      <c r="C57">
        <v>31.187377128431045</v>
      </c>
      <c r="E57" s="2">
        <v>64</v>
      </c>
      <c r="G57" cm="1">
        <f t="array" ref="G57">INDEX(_xlfn._TRO_TRAILING(A$2:A$1048576),$E57)</f>
        <v>-5.9327924267352463</v>
      </c>
      <c r="H57" cm="1">
        <f t="array" ref="H57">INDEX(_xlfn._TRO_TRAILING(B$2:B$1048576),$E57)</f>
        <v>24.944859256707716</v>
      </c>
      <c r="I57" cm="1">
        <f t="array" ref="I57">INDEX(_xlfn._TRO_TRAILING(C$2:C$1048576),$E57)</f>
        <v>35.91416396456723</v>
      </c>
      <c r="K57" s="59">
        <v>11861761</v>
      </c>
    </row>
    <row r="58" spans="1:11" x14ac:dyDescent="0.25">
      <c r="A58">
        <v>-6.642353847965409</v>
      </c>
      <c r="B58">
        <v>20.659085445859226</v>
      </c>
      <c r="C58">
        <v>32.66652726028137</v>
      </c>
      <c r="E58" s="2">
        <v>63</v>
      </c>
      <c r="G58" cm="1">
        <f t="array" ref="G58">INDEX(_xlfn._TRO_TRAILING(A$2:A$1048576),$E58)</f>
        <v>-5.9311845947123718</v>
      </c>
      <c r="H58" cm="1">
        <f t="array" ref="H58">INDEX(_xlfn._TRO_TRAILING(B$2:B$1048576),$E58)</f>
        <v>24.299503648503194</v>
      </c>
      <c r="I58" cm="1">
        <f t="array" ref="I58">INDEX(_xlfn._TRO_TRAILING(C$2:C$1048576),$E58)</f>
        <v>36.347404376863757</v>
      </c>
      <c r="K58" s="147">
        <v>12254977</v>
      </c>
    </row>
    <row r="59" spans="1:11" x14ac:dyDescent="0.25">
      <c r="A59">
        <v>-6.5060855474357799</v>
      </c>
      <c r="B59">
        <v>20.902586323236779</v>
      </c>
      <c r="C59">
        <v>34.182800325781386</v>
      </c>
      <c r="E59" s="2">
        <v>62</v>
      </c>
      <c r="G59" cm="1">
        <f t="array" ref="G59">INDEX(_xlfn._TRO_TRAILING(A$2:A$1048576),$E59)</f>
        <v>-5.9316513288312134</v>
      </c>
      <c r="H59" cm="1">
        <f t="array" ref="H59">INDEX(_xlfn._TRO_TRAILING(B$2:B$1048576),$E59)</f>
        <v>23.617096148576113</v>
      </c>
      <c r="I59" cm="1">
        <f t="array" ref="I59">INDEX(_xlfn._TRO_TRAILING(C$2:C$1048576),$E59)</f>
        <v>36.718456512941579</v>
      </c>
      <c r="K59" s="7">
        <v>12648193</v>
      </c>
    </row>
    <row r="60" spans="1:11" x14ac:dyDescent="0.25">
      <c r="A60">
        <v>-6.3462792995071062</v>
      </c>
      <c r="B60">
        <v>21.273587671303904</v>
      </c>
      <c r="C60">
        <v>35.679174033353391</v>
      </c>
      <c r="E60" s="2">
        <v>61</v>
      </c>
      <c r="G60" cm="1">
        <f t="array" ref="G60">INDEX(_xlfn._TRO_TRAILING(A$2:A$1048576),$E60)</f>
        <v>-5.9642966332241594</v>
      </c>
      <c r="H60" cm="1">
        <f t="array" ref="H60">INDEX(_xlfn._TRO_TRAILING(B$2:B$1048576),$E60)</f>
        <v>22.883342690198191</v>
      </c>
      <c r="I60" cm="1">
        <f t="array" ref="I60">INDEX(_xlfn._TRO_TRAILING(C$2:C$1048576),$E60)</f>
        <v>36.9570051349925</v>
      </c>
      <c r="K60" s="148">
        <v>13041409</v>
      </c>
    </row>
    <row r="61" spans="1:11" x14ac:dyDescent="0.25">
      <c r="A61">
        <v>-6.173663857190185</v>
      </c>
      <c r="B61">
        <v>22.150250927148164</v>
      </c>
      <c r="C61">
        <v>36.891185867610552</v>
      </c>
      <c r="E61" s="2">
        <v>60</v>
      </c>
      <c r="G61" cm="1">
        <f t="array" ref="G61">INDEX(_xlfn._TRO_TRAILING(A$2:A$1048576),$E61)</f>
        <v>-6.173663857190185</v>
      </c>
      <c r="H61" cm="1">
        <f t="array" ref="H61">INDEX(_xlfn._TRO_TRAILING(B$2:B$1048576),$E61)</f>
        <v>22.150250927148164</v>
      </c>
      <c r="I61" cm="1">
        <f t="array" ref="I61">INDEX(_xlfn._TRO_TRAILING(C$2:C$1048576),$E61)</f>
        <v>36.891185867610552</v>
      </c>
      <c r="K61" s="149">
        <v>13434625</v>
      </c>
    </row>
    <row r="62" spans="1:11" x14ac:dyDescent="0.25">
      <c r="A62">
        <v>-5.9642966332241594</v>
      </c>
      <c r="B62">
        <v>22.883342690198191</v>
      </c>
      <c r="C62">
        <v>36.9570051349925</v>
      </c>
      <c r="E62" s="2">
        <v>59</v>
      </c>
      <c r="G62" cm="1">
        <f t="array" ref="G62">INDEX(_xlfn._TRO_TRAILING(A$2:A$1048576),$E62)</f>
        <v>-6.3462792995071062</v>
      </c>
      <c r="H62" cm="1">
        <f t="array" ref="H62">INDEX(_xlfn._TRO_TRAILING(B$2:B$1048576),$E62)</f>
        <v>21.273587671303904</v>
      </c>
      <c r="I62" cm="1">
        <f t="array" ref="I62">INDEX(_xlfn._TRO_TRAILING(C$2:C$1048576),$E62)</f>
        <v>35.679174033353391</v>
      </c>
      <c r="K62" s="20">
        <v>13827841</v>
      </c>
    </row>
    <row r="63" spans="1:11" x14ac:dyDescent="0.25">
      <c r="A63">
        <v>-5.9316513288312134</v>
      </c>
      <c r="B63">
        <v>23.617096148576113</v>
      </c>
      <c r="C63">
        <v>36.718456512941579</v>
      </c>
      <c r="E63" s="2">
        <v>58</v>
      </c>
      <c r="G63" cm="1">
        <f t="array" ref="G63">INDEX(_xlfn._TRO_TRAILING(A$2:A$1048576),$E63)</f>
        <v>-6.5060855474357799</v>
      </c>
      <c r="H63" cm="1">
        <f t="array" ref="H63">INDEX(_xlfn._TRO_TRAILING(B$2:B$1048576),$E63)</f>
        <v>20.902586323236779</v>
      </c>
      <c r="I63" cm="1">
        <f t="array" ref="I63">INDEX(_xlfn._TRO_TRAILING(C$2:C$1048576),$E63)</f>
        <v>34.182800325781386</v>
      </c>
      <c r="K63" s="150">
        <v>14221057</v>
      </c>
    </row>
    <row r="64" spans="1:11" x14ac:dyDescent="0.25">
      <c r="A64">
        <v>-5.9311845947123718</v>
      </c>
      <c r="B64">
        <v>24.299503648503194</v>
      </c>
      <c r="C64">
        <v>36.347404376863757</v>
      </c>
      <c r="E64" s="2">
        <v>57</v>
      </c>
      <c r="G64" cm="1">
        <f t="array" ref="G64">INDEX(_xlfn._TRO_TRAILING(A$2:A$1048576),$E64)</f>
        <v>-6.642353847965409</v>
      </c>
      <c r="H64" cm="1">
        <f t="array" ref="H64">INDEX(_xlfn._TRO_TRAILING(B$2:B$1048576),$E64)</f>
        <v>20.659085445859226</v>
      </c>
      <c r="I64" cm="1">
        <f t="array" ref="I64">INDEX(_xlfn._TRO_TRAILING(C$2:C$1048576),$E64)</f>
        <v>32.66652726028137</v>
      </c>
      <c r="K64" s="60">
        <v>14614273</v>
      </c>
    </row>
    <row r="65" spans="1:11" x14ac:dyDescent="0.25">
      <c r="A65">
        <v>-5.9327924267352463</v>
      </c>
      <c r="B65">
        <v>24.944859256707716</v>
      </c>
      <c r="C65">
        <v>35.91416396456723</v>
      </c>
      <c r="E65" s="2">
        <v>56</v>
      </c>
      <c r="G65" cm="1">
        <f t="array" ref="G65">INDEX(_xlfn._TRO_TRAILING(A$2:A$1048576),$E65)</f>
        <v>-6.8081637703669227</v>
      </c>
      <c r="H65" cm="1">
        <f t="array" ref="H65">INDEX(_xlfn._TRO_TRAILING(B$2:B$1048576),$E65)</f>
        <v>20.355868094070843</v>
      </c>
      <c r="I65" cm="1">
        <f t="array" ref="I65">INDEX(_xlfn._TRO_TRAILING(C$2:C$1048576),$E65)</f>
        <v>31.187377128431045</v>
      </c>
      <c r="K65" s="151">
        <v>15007489</v>
      </c>
    </row>
    <row r="66" spans="1:11" x14ac:dyDescent="0.25">
      <c r="A66">
        <v>-5.9367473060387104</v>
      </c>
      <c r="B66">
        <v>25.554439815052323</v>
      </c>
      <c r="C66">
        <v>35.432199401851207</v>
      </c>
      <c r="E66" s="2">
        <v>55</v>
      </c>
      <c r="G66" cm="1">
        <f t="array" ref="G66">INDEX(_xlfn._TRO_TRAILING(A$2:A$1048576),$E66)</f>
        <v>-6.95688219084371</v>
      </c>
      <c r="H66" cm="1">
        <f t="array" ref="H66">INDEX(_xlfn._TRO_TRAILING(B$2:B$1048576),$E66)</f>
        <v>20.22055996101443</v>
      </c>
      <c r="I66" cm="1">
        <f t="array" ref="I66">INDEX(_xlfn._TRO_TRAILING(C$2:C$1048576),$E66)</f>
        <v>29.762643536734473</v>
      </c>
      <c r="K66" s="152">
        <v>15400705</v>
      </c>
    </row>
    <row r="67" spans="1:11" x14ac:dyDescent="0.25">
      <c r="A67">
        <v>-5.9412621628107196</v>
      </c>
      <c r="B67">
        <v>26.165443734369994</v>
      </c>
      <c r="C67">
        <v>34.95216197402894</v>
      </c>
      <c r="E67" s="2">
        <v>54</v>
      </c>
      <c r="G67" cm="1">
        <f t="array" ref="G67">INDEX(_xlfn._TRO_TRAILING(A$2:A$1048576),$E67)</f>
        <v>-7.0291302128025519</v>
      </c>
      <c r="H67" cm="1">
        <f t="array" ref="H67">INDEX(_xlfn._TRO_TRAILING(B$2:B$1048576),$E67)</f>
        <v>20.096145818709779</v>
      </c>
      <c r="I67" cm="1">
        <f t="array" ref="I67">INDEX(_xlfn._TRO_TRAILING(C$2:C$1048576),$E67)</f>
        <v>28.230186513193136</v>
      </c>
      <c r="K67" s="61">
        <v>15793921</v>
      </c>
    </row>
    <row r="68" spans="1:11" x14ac:dyDescent="0.25">
      <c r="A68">
        <v>-5.9477151568154767</v>
      </c>
      <c r="B68">
        <v>26.759305892023363</v>
      </c>
      <c r="C68">
        <v>34.450674708972414</v>
      </c>
      <c r="E68" s="2">
        <v>53</v>
      </c>
      <c r="G68" cm="1">
        <f t="array" ref="G68">INDEX(_xlfn._TRO_TRAILING(A$2:A$1048576),$E68)</f>
        <v>-7.1075655614317164</v>
      </c>
      <c r="H68" cm="1">
        <f t="array" ref="H68">INDEX(_xlfn._TRO_TRAILING(B$2:B$1048576),$E68)</f>
        <v>19.92766984465176</v>
      </c>
      <c r="I68" cm="1">
        <f t="array" ref="I68">INDEX(_xlfn._TRO_TRAILING(C$2:C$1048576),$E68)</f>
        <v>26.70299918479666</v>
      </c>
      <c r="K68" s="153">
        <v>16187137</v>
      </c>
    </row>
    <row r="69" spans="1:11" x14ac:dyDescent="0.25">
      <c r="A69">
        <v>-5.9594169450661285</v>
      </c>
      <c r="B69">
        <v>27.32241791663391</v>
      </c>
      <c r="C69">
        <v>33.916727207393585</v>
      </c>
      <c r="E69" s="2">
        <v>52</v>
      </c>
      <c r="G69" cm="1">
        <f t="array" ref="G69">INDEX(_xlfn._TRO_TRAILING(A$2:A$1048576),$E69)</f>
        <v>-7.196449625628798</v>
      </c>
      <c r="H69" cm="1">
        <f t="array" ref="H69">INDEX(_xlfn._TRO_TRAILING(B$2:B$1048576),$E69)</f>
        <v>19.626652699457949</v>
      </c>
      <c r="I69" cm="1">
        <f t="array" ref="I69">INDEX(_xlfn._TRO_TRAILING(C$2:C$1048576),$E69)</f>
        <v>25.195434680425393</v>
      </c>
      <c r="K69" s="62">
        <v>16580353</v>
      </c>
    </row>
    <row r="70" spans="1:11" x14ac:dyDescent="0.25">
      <c r="A70">
        <v>-5.9770611031010308</v>
      </c>
      <c r="B70">
        <v>27.860280082950108</v>
      </c>
      <c r="C70">
        <v>33.357480316598682</v>
      </c>
      <c r="E70" s="2">
        <v>51</v>
      </c>
      <c r="G70" cm="1">
        <f t="array" ref="G70">INDEX(_xlfn._TRO_TRAILING(A$2:A$1048576),$E70)</f>
        <v>-7.3793842013848252</v>
      </c>
      <c r="H70" cm="1">
        <f t="array" ref="H70">INDEX(_xlfn._TRO_TRAILING(B$2:B$1048576),$E70)</f>
        <v>18.594929331401559</v>
      </c>
      <c r="I70" cm="1">
        <f t="array" ref="I70">INDEX(_xlfn._TRO_TRAILING(C$2:C$1048576),$E70)</f>
        <v>24.216095462323594</v>
      </c>
      <c r="K70" s="154">
        <v>16776193</v>
      </c>
    </row>
    <row r="71" spans="1:11" x14ac:dyDescent="0.25">
      <c r="A71">
        <v>-5.9947201110747663</v>
      </c>
      <c r="B71">
        <v>28.398837549045286</v>
      </c>
      <c r="C71">
        <v>32.797553259187204</v>
      </c>
      <c r="E71" s="2">
        <v>50</v>
      </c>
      <c r="G71" cm="1">
        <f t="array" ref="G71">INDEX(_xlfn._TRO_TRAILING(A$2:A$1048576),$E71)</f>
        <v>-7.524612153419989</v>
      </c>
      <c r="H71" cm="1">
        <f t="array" ref="H71">INDEX(_xlfn._TRO_TRAILING(B$2:B$1048576),$E71)</f>
        <v>17.647351766388358</v>
      </c>
      <c r="I71" cm="1">
        <f t="array" ref="I71">INDEX(_xlfn._TRO_TRAILING(C$2:C$1048576),$E71)</f>
        <v>23.070206504966087</v>
      </c>
      <c r="K71" s="155">
        <v>16774657</v>
      </c>
    </row>
    <row r="72" spans="1:11" x14ac:dyDescent="0.25">
      <c r="A72">
        <v>-6.010756249765997</v>
      </c>
      <c r="B72">
        <v>28.92437516254865</v>
      </c>
      <c r="C72">
        <v>32.226251494694381</v>
      </c>
      <c r="E72" s="2">
        <v>49</v>
      </c>
      <c r="G72" cm="1">
        <f t="array" ref="G72">INDEX(_xlfn._TRO_TRAILING(A$2:A$1048576),$E72)</f>
        <v>-7.4950970739921878</v>
      </c>
      <c r="H72" cm="1">
        <f t="array" ref="H72">INDEX(_xlfn._TRO_TRAILING(B$2:B$1048576),$E72)</f>
        <v>17.552701081557981</v>
      </c>
      <c r="I72" cm="1">
        <f t="array" ref="I72">INDEX(_xlfn._TRO_TRAILING(C$2:C$1048576),$E72)</f>
        <v>21.536587418236536</v>
      </c>
      <c r="K72" s="8">
        <v>16773121</v>
      </c>
    </row>
    <row r="73" spans="1:11" x14ac:dyDescent="0.25">
      <c r="A73">
        <v>-5.9738103098756348</v>
      </c>
      <c r="B73">
        <v>29.468045277998428</v>
      </c>
      <c r="C73">
        <v>31.676345986702412</v>
      </c>
      <c r="E73" s="2">
        <v>48</v>
      </c>
      <c r="G73" cm="1">
        <f t="array" ref="G73">INDEX(_xlfn._TRO_TRAILING(A$2:A$1048576),$E73)</f>
        <v>-7.5009471189238788</v>
      </c>
      <c r="H73" cm="1">
        <f t="array" ref="H73">INDEX(_xlfn._TRO_TRAILING(B$2:B$1048576),$E73)</f>
        <v>17.678760782069869</v>
      </c>
      <c r="I73" cm="1">
        <f t="array" ref="I73">INDEX(_xlfn._TRO_TRAILING(C$2:C$1048576),$E73)</f>
        <v>19.997950871973938</v>
      </c>
      <c r="K73" s="156">
        <v>16771585</v>
      </c>
    </row>
    <row r="74" spans="1:11" x14ac:dyDescent="0.25">
      <c r="A74">
        <v>-5.8411205688658656</v>
      </c>
      <c r="B74">
        <v>30.034365175201721</v>
      </c>
      <c r="C74">
        <v>31.162703957516307</v>
      </c>
      <c r="E74" s="2">
        <v>47</v>
      </c>
      <c r="G74" cm="1">
        <f t="array" ref="G74">INDEX(_xlfn._TRO_TRAILING(A$2:A$1048576),$E74)</f>
        <v>-7.4255048394966501</v>
      </c>
      <c r="H74" cm="1">
        <f t="array" ref="H74">INDEX(_xlfn._TRO_TRAILING(B$2:B$1048576),$E74)</f>
        <v>17.627529768878631</v>
      </c>
      <c r="I74" cm="1">
        <f t="array" ref="I74">INDEX(_xlfn._TRO_TRAILING(C$2:C$1048576),$E74)</f>
        <v>18.451548093460577</v>
      </c>
      <c r="K74" s="63">
        <v>16770049</v>
      </c>
    </row>
    <row r="75" spans="1:11" x14ac:dyDescent="0.25">
      <c r="A75">
        <v>-5.7757422567665415</v>
      </c>
      <c r="B75">
        <v>30.449247801523725</v>
      </c>
      <c r="C75">
        <v>30.512990696707011</v>
      </c>
      <c r="E75" s="2">
        <v>46</v>
      </c>
      <c r="G75" cm="1">
        <f t="array" ref="G75">INDEX(_xlfn._TRO_TRAILING(A$2:A$1048576),$E75)</f>
        <v>-7.3595931872289286</v>
      </c>
      <c r="H75" cm="1">
        <f t="array" ref="H75">INDEX(_xlfn._TRO_TRAILING(B$2:B$1048576),$E75)</f>
        <v>17.426402469433199</v>
      </c>
      <c r="I75" cm="1">
        <f t="array" ref="I75">INDEX(_xlfn._TRO_TRAILING(C$2:C$1048576),$E75)</f>
        <v>16.919705250272518</v>
      </c>
      <c r="K75" s="157">
        <v>16768513</v>
      </c>
    </row>
    <row r="76" spans="1:11" x14ac:dyDescent="0.25">
      <c r="A76">
        <v>-5.7421790179141903</v>
      </c>
      <c r="B76">
        <v>30.798751720067351</v>
      </c>
      <c r="C76">
        <v>29.823297273914132</v>
      </c>
      <c r="E76" s="2">
        <v>45</v>
      </c>
      <c r="G76" cm="1">
        <f t="array" ref="G76">INDEX(_xlfn._TRO_TRAILING(A$2:A$1048576),$E76)</f>
        <v>-7.544358000322843</v>
      </c>
      <c r="H76" cm="1">
        <f t="array" ref="H76">INDEX(_xlfn._TRO_TRAILING(B$2:B$1048576),$E76)</f>
        <v>16.863081483709585</v>
      </c>
      <c r="I76" cm="1">
        <f t="array" ref="I76">INDEX(_xlfn._TRO_TRAILING(C$2:C$1048576),$E76)</f>
        <v>16.844340690943806</v>
      </c>
      <c r="K76" s="158">
        <v>16766977</v>
      </c>
    </row>
    <row r="77" spans="1:11" x14ac:dyDescent="0.25">
      <c r="A77">
        <v>-5.6641568434297769</v>
      </c>
      <c r="B77">
        <v>31.248073261934667</v>
      </c>
      <c r="C77">
        <v>29.193870839981329</v>
      </c>
      <c r="E77" s="2">
        <v>44</v>
      </c>
      <c r="G77" cm="1">
        <f t="array" ref="G77">INDEX(_xlfn._TRO_TRAILING(A$2:A$1048576),$E77)</f>
        <v>-7.8311787282194478</v>
      </c>
      <c r="H77" cm="1">
        <f t="array" ref="H77">INDEX(_xlfn._TRO_TRAILING(B$2:B$1048576),$E77)</f>
        <v>15.620007884664322</v>
      </c>
      <c r="I77" cm="1">
        <f t="array" ref="I77">INDEX(_xlfn._TRO_TRAILING(C$2:C$1048576),$E77)</f>
        <v>17.704465341732721</v>
      </c>
      <c r="K77" s="29">
        <v>16765441</v>
      </c>
    </row>
    <row r="78" spans="1:11" x14ac:dyDescent="0.25">
      <c r="A78">
        <v>-5.5927440194246358</v>
      </c>
      <c r="B78">
        <v>31.687409517155182</v>
      </c>
      <c r="C78">
        <v>28.55828522335004</v>
      </c>
      <c r="E78" s="2">
        <v>43</v>
      </c>
      <c r="G78" cm="1">
        <f t="array" ref="G78">INDEX(_xlfn._TRO_TRAILING(A$2:A$1048576),$E78)</f>
        <v>-7.9649374559350798</v>
      </c>
      <c r="H78" cm="1">
        <f t="array" ref="H78">INDEX(_xlfn._TRO_TRAILING(B$2:B$1048576),$E78)</f>
        <v>14.181303432232092</v>
      </c>
      <c r="I78" cm="1">
        <f t="array" ref="I78">INDEX(_xlfn._TRO_TRAILING(C$2:C$1048576),$E78)</f>
        <v>18.191016314732337</v>
      </c>
      <c r="K78" s="159">
        <v>16763905</v>
      </c>
    </row>
    <row r="79" spans="1:11" x14ac:dyDescent="0.25">
      <c r="A79">
        <v>-5.5325448429423867</v>
      </c>
      <c r="B79">
        <v>32.108638187819707</v>
      </c>
      <c r="C79">
        <v>27.908508649874477</v>
      </c>
      <c r="E79" s="2">
        <v>42</v>
      </c>
      <c r="G79" cm="1">
        <f t="array" ref="G79">INDEX(_xlfn._TRO_TRAILING(A$2:A$1048576),$E79)</f>
        <v>-7.9043198586135475</v>
      </c>
      <c r="H79" cm="1">
        <f t="array" ref="H79">INDEX(_xlfn._TRO_TRAILING(B$2:B$1048576),$E79)</f>
        <v>13.137684179346092</v>
      </c>
      <c r="I79" cm="1">
        <f t="array" ref="I79">INDEX(_xlfn._TRO_TRAILING(C$2:C$1048576),$E79)</f>
        <v>17.173508617662741</v>
      </c>
      <c r="K79" s="64">
        <v>16762369</v>
      </c>
    </row>
    <row r="80" spans="1:11" x14ac:dyDescent="0.25">
      <c r="A80">
        <v>-5.4735906878860536</v>
      </c>
      <c r="B80">
        <v>32.53007383407936</v>
      </c>
      <c r="C80">
        <v>27.258429402232562</v>
      </c>
      <c r="E80" s="2">
        <v>41</v>
      </c>
      <c r="G80" cm="1">
        <f t="array" ref="G80">INDEX(_xlfn._TRO_TRAILING(A$2:A$1048576),$E80)</f>
        <v>-7.8295478674430221</v>
      </c>
      <c r="H80" cm="1">
        <f t="array" ref="H80">INDEX(_xlfn._TRO_TRAILING(B$2:B$1048576),$E80)</f>
        <v>12.709353371379056</v>
      </c>
      <c r="I80" cm="1">
        <f t="array" ref="I80">INDEX(_xlfn._TRO_TRAILING(C$2:C$1048576),$E80)</f>
        <v>15.685753586041667</v>
      </c>
      <c r="K80" s="160">
        <v>16760833</v>
      </c>
    </row>
    <row r="81" spans="1:11" x14ac:dyDescent="0.25">
      <c r="A81">
        <v>-5.4198006421718947</v>
      </c>
      <c r="B81">
        <v>32.948648042509916</v>
      </c>
      <c r="C81">
        <v>26.605783957972243</v>
      </c>
      <c r="E81" s="2">
        <v>40</v>
      </c>
      <c r="G81" cm="1">
        <f t="array" ref="G81">INDEX(_xlfn._TRO_TRAILING(A$2:A$1048576),$E81)</f>
        <v>-7.3188983630736786</v>
      </c>
      <c r="H81" cm="1">
        <f t="array" ref="H81">INDEX(_xlfn._TRO_TRAILING(B$2:B$1048576),$E81)</f>
        <v>12.350339081273514</v>
      </c>
      <c r="I81" cm="1">
        <f t="array" ref="I81">INDEX(_xlfn._TRO_TRAILING(C$2:C$1048576),$E81)</f>
        <v>14.275044141228747</v>
      </c>
      <c r="K81" s="161">
        <v>16759297</v>
      </c>
    </row>
    <row r="82" spans="1:11" x14ac:dyDescent="0.25">
      <c r="A82">
        <v>-5.3457050919740539</v>
      </c>
      <c r="B82">
        <v>33.391627717479423</v>
      </c>
      <c r="C82">
        <v>25.972200736383797</v>
      </c>
      <c r="E82" s="2">
        <v>39</v>
      </c>
      <c r="G82" cm="1">
        <f t="array" ref="G82">INDEX(_xlfn._TRO_TRAILING(A$2:A$1048576),$E82)</f>
        <v>-7.0055201736597521</v>
      </c>
      <c r="H82" cm="1">
        <f t="array" ref="H82">INDEX(_xlfn._TRO_TRAILING(B$2:B$1048576),$E82)</f>
        <v>12.463669765550497</v>
      </c>
      <c r="I82" cm="1">
        <f t="array" ref="I82">INDEX(_xlfn._TRO_TRAILING(C$2:C$1048576),$E82)</f>
        <v>12.774336706039614</v>
      </c>
      <c r="K82" s="6">
        <v>16757761</v>
      </c>
    </row>
    <row r="83" spans="1:11" x14ac:dyDescent="0.25">
      <c r="A83">
        <v>-5.3181135022530484</v>
      </c>
      <c r="B83">
        <v>33.768774465150535</v>
      </c>
      <c r="C83">
        <v>25.295330317473656</v>
      </c>
      <c r="E83" s="2">
        <v>38</v>
      </c>
      <c r="G83" cm="1">
        <f t="array" ref="G83">INDEX(_xlfn._TRO_TRAILING(A$2:A$1048576),$E83)</f>
        <v>-6.6323817839237389</v>
      </c>
      <c r="H83" cm="1">
        <f t="array" ref="H83">INDEX(_xlfn._TRO_TRAILING(B$2:B$1048576),$E83)</f>
        <v>12.83186272530625</v>
      </c>
      <c r="I83" cm="1">
        <f t="array" ref="I83">INDEX(_xlfn._TRO_TRAILING(C$2:C$1048576),$E83)</f>
        <v>11.335703035899147</v>
      </c>
      <c r="K83" s="162">
        <v>16756225</v>
      </c>
    </row>
    <row r="84" spans="1:11" x14ac:dyDescent="0.25">
      <c r="A84">
        <v>-5.2741648427603014</v>
      </c>
      <c r="B84">
        <v>34.164964447730867</v>
      </c>
      <c r="C84">
        <v>24.631818081052621</v>
      </c>
      <c r="E84" s="2">
        <v>37</v>
      </c>
      <c r="G84" cm="1">
        <f t="array" ref="G84">INDEX(_xlfn._TRO_TRAILING(A$2:A$1048576),$E84)</f>
        <v>-6.2117835280822948</v>
      </c>
      <c r="H84" cm="1">
        <f t="array" ref="H84">INDEX(_xlfn._TRO_TRAILING(B$2:B$1048576),$E84)</f>
        <v>13.029528982088747</v>
      </c>
      <c r="I84" cm="1">
        <f t="array" ref="I84">INDEX(_xlfn._TRO_TRAILING(C$2:C$1048576),$E84)</f>
        <v>10.063824806927144</v>
      </c>
      <c r="K84" s="30">
        <v>16754689</v>
      </c>
    </row>
    <row r="85" spans="1:11" x14ac:dyDescent="0.25">
      <c r="A85">
        <v>-5.2130888285899122</v>
      </c>
      <c r="B85">
        <v>34.583929492685058</v>
      </c>
      <c r="C85">
        <v>23.986575784782481</v>
      </c>
      <c r="E85" s="2">
        <v>36</v>
      </c>
      <c r="G85" cm="1">
        <f t="array" ref="G85">INDEX(_xlfn._TRO_TRAILING(A$2:A$1048576),$E85)</f>
        <v>-6.7834318816123069</v>
      </c>
      <c r="H85" cm="1">
        <f t="array" ref="H85">INDEX(_xlfn._TRO_TRAILING(B$2:B$1048576),$E85)</f>
        <v>11.793428667425328</v>
      </c>
      <c r="I85" cm="1">
        <f t="array" ref="I85">INDEX(_xlfn._TRO_TRAILING(C$2:C$1048576),$E85)</f>
        <v>10.754707502887436</v>
      </c>
      <c r="K85" s="163">
        <v>16753153</v>
      </c>
    </row>
    <row r="86" spans="1:11" x14ac:dyDescent="0.25">
      <c r="A86">
        <v>-5.2146642956777924</v>
      </c>
      <c r="B86">
        <v>34.898960745077325</v>
      </c>
      <c r="C86">
        <v>23.2765562136989</v>
      </c>
      <c r="E86" s="2">
        <v>35</v>
      </c>
      <c r="G86" cm="1">
        <f t="array" ref="G86">INDEX(_xlfn._TRO_TRAILING(A$2:A$1048576),$E86)</f>
        <v>-7.0965479736732435</v>
      </c>
      <c r="H86" cm="1">
        <f t="array" ref="H86">INDEX(_xlfn._TRO_TRAILING(B$2:B$1048576),$E86)</f>
        <v>10.347811388521189</v>
      </c>
      <c r="I86" cm="1">
        <f t="array" ref="I86">INDEX(_xlfn._TRO_TRAILING(C$2:C$1048576),$E86)</f>
        <v>11.201049377494256</v>
      </c>
      <c r="K86" s="164">
        <v>16751617</v>
      </c>
    </row>
    <row r="87" spans="1:11" x14ac:dyDescent="0.25">
      <c r="A87">
        <v>-5.1459233859640356</v>
      </c>
      <c r="B87">
        <v>35.257060010221601</v>
      </c>
      <c r="C87">
        <v>22.591225555805668</v>
      </c>
      <c r="E87" s="2">
        <v>34</v>
      </c>
      <c r="G87" cm="1">
        <f t="array" ref="G87">INDEX(_xlfn._TRO_TRAILING(A$2:A$1048576),$E87)</f>
        <v>-7.0097378403216188</v>
      </c>
      <c r="H87" cm="1">
        <f t="array" ref="H87">INDEX(_xlfn._TRO_TRAILING(B$2:B$1048576),$E87)</f>
        <v>9.213142126160621</v>
      </c>
      <c r="I87" cm="1">
        <f t="array" ref="I87">INDEX(_xlfn._TRO_TRAILING(C$2:C$1048576),$E87)</f>
        <v>10.525611101847611</v>
      </c>
      <c r="K87" s="65">
        <v>16750081</v>
      </c>
    </row>
    <row r="88" spans="1:11" x14ac:dyDescent="0.25">
      <c r="A88">
        <v>-5.1203544869356357</v>
      </c>
      <c r="B88">
        <v>35.559527106398022</v>
      </c>
      <c r="C88">
        <v>21.876834397102073</v>
      </c>
      <c r="E88" s="2">
        <v>33</v>
      </c>
      <c r="G88" cm="1">
        <f t="array" ref="G88">INDEX(_xlfn._TRO_TRAILING(A$2:A$1048576),$E88)</f>
        <v>-6.5680696682567588</v>
      </c>
      <c r="H88" cm="1">
        <f t="array" ref="H88">INDEX(_xlfn._TRO_TRAILING(B$2:B$1048576),$E88)</f>
        <v>9.0393457442379876</v>
      </c>
      <c r="I88" cm="1">
        <f t="array" ref="I88">INDEX(_xlfn._TRO_TRAILING(C$2:C$1048576),$E88)</f>
        <v>9.0555807851379342</v>
      </c>
      <c r="K88" s="165">
        <v>16748545</v>
      </c>
    </row>
    <row r="89" spans="1:11" x14ac:dyDescent="0.25">
      <c r="A89">
        <v>-5.0467239302723588</v>
      </c>
      <c r="B89">
        <v>35.913832334687228</v>
      </c>
      <c r="C89">
        <v>21.201062291768604</v>
      </c>
      <c r="E89" s="2">
        <v>32</v>
      </c>
      <c r="G89" cm="1">
        <f t="array" ref="G89">INDEX(_xlfn._TRO_TRAILING(A$2:A$1048576),$E89)</f>
        <v>-6.1459035296846469</v>
      </c>
      <c r="H89" cm="1">
        <f t="array" ref="H89">INDEX(_xlfn._TRO_TRAILING(B$2:B$1048576),$E89)</f>
        <v>9.1279746838676896</v>
      </c>
      <c r="I89" cm="1">
        <f t="array" ref="I89">INDEX(_xlfn._TRO_TRAILING(C$2:C$1048576),$E89)</f>
        <v>7.5758152995255568</v>
      </c>
      <c r="K89" s="66">
        <v>16747009</v>
      </c>
    </row>
    <row r="90" spans="1:11" x14ac:dyDescent="0.25">
      <c r="A90">
        <v>-4.8497132283936359</v>
      </c>
      <c r="B90">
        <v>36.432488767721381</v>
      </c>
      <c r="C90">
        <v>20.671427755701853</v>
      </c>
      <c r="E90" s="2">
        <v>31</v>
      </c>
      <c r="G90" cm="1">
        <f t="array" ref="G90">INDEX(_xlfn._TRO_TRAILING(A$2:A$1048576),$E90)</f>
        <v>-5.699509349937717</v>
      </c>
      <c r="H90" cm="1">
        <f t="array" ref="H90">INDEX(_xlfn._TRO_TRAILING(B$2:B$1048576),$E90)</f>
        <v>9.6604995013668429</v>
      </c>
      <c r="I90" cm="1">
        <f t="array" ref="I90">INDEX(_xlfn._TRO_TRAILING(C$2:C$1048576),$E90)</f>
        <v>6.2093984452955331</v>
      </c>
      <c r="K90" s="166">
        <v>16745473</v>
      </c>
    </row>
    <row r="91" spans="1:11" x14ac:dyDescent="0.25">
      <c r="A91">
        <v>-4.8267938702636313</v>
      </c>
      <c r="B91">
        <v>36.677575928260687</v>
      </c>
      <c r="C91">
        <v>19.939402611703152</v>
      </c>
      <c r="E91" s="2">
        <v>30</v>
      </c>
      <c r="G91" cm="1">
        <f t="array" ref="G91">INDEX(_xlfn._TRO_TRAILING(A$2:A$1048576),$E91)</f>
        <v>-5.2451429916010559</v>
      </c>
      <c r="H91" cm="1">
        <f t="array" ref="H91">INDEX(_xlfn._TRO_TRAILING(B$2:B$1048576),$E91)</f>
        <v>9.6821572951725923</v>
      </c>
      <c r="I91" cm="1">
        <f t="array" ref="I91">INDEX(_xlfn._TRO_TRAILING(C$2:C$1048576),$E91)</f>
        <v>4.9824187477082731</v>
      </c>
      <c r="K91" s="167">
        <v>16744193</v>
      </c>
    </row>
    <row r="92" spans="1:11" x14ac:dyDescent="0.25">
      <c r="A92">
        <v>-4.8102518205416853</v>
      </c>
      <c r="B92">
        <v>36.92267882333708</v>
      </c>
      <c r="C92">
        <v>19.204428205005705</v>
      </c>
      <c r="E92" s="2">
        <v>29</v>
      </c>
      <c r="G92" cm="1">
        <f t="array" ref="G92">INDEX(_xlfn._TRO_TRAILING(A$2:A$1048576),$E92)</f>
        <v>-4.7261141622650147</v>
      </c>
      <c r="H92" cm="1">
        <f t="array" ref="H92">INDEX(_xlfn._TRO_TRAILING(B$2:B$1048576),$E92)</f>
        <v>10.45326558640763</v>
      </c>
      <c r="I92" cm="1">
        <f t="array" ref="I92">INDEX(_xlfn._TRO_TRAILING(C$2:C$1048576),$E92)</f>
        <v>4.1558311105980463</v>
      </c>
      <c r="K92" s="21">
        <v>16742657</v>
      </c>
    </row>
    <row r="93" spans="1:11" x14ac:dyDescent="0.25">
      <c r="A93">
        <v>-4.8020920119080248</v>
      </c>
      <c r="B93">
        <v>37.147636973177129</v>
      </c>
      <c r="C93">
        <v>18.462487983004216</v>
      </c>
      <c r="E93" s="2">
        <v>28</v>
      </c>
      <c r="G93" cm="1">
        <f t="array" ref="G93">INDEX(_xlfn._TRO_TRAILING(A$2:A$1048576),$E93)</f>
        <v>-4.7306106178800551</v>
      </c>
      <c r="H93" cm="1">
        <f t="array" ref="H93">INDEX(_xlfn._TRO_TRAILING(B$2:B$1048576),$E93)</f>
        <v>10.442531302494281</v>
      </c>
      <c r="I93" cm="1">
        <f t="array" ref="I93">INDEX(_xlfn._TRO_TRAILING(C$2:C$1048576),$E93)</f>
        <v>4.1782940517016698</v>
      </c>
      <c r="K93" s="168">
        <v>16741121</v>
      </c>
    </row>
    <row r="94" spans="1:11" x14ac:dyDescent="0.25">
      <c r="A94">
        <v>-4.7303815648589707</v>
      </c>
      <c r="B94">
        <v>37.544400360695185</v>
      </c>
      <c r="C94">
        <v>17.798645612345101</v>
      </c>
      <c r="E94" s="2">
        <v>27</v>
      </c>
      <c r="G94" cm="1">
        <f t="array" ref="G94">INDEX(_xlfn._TRO_TRAILING(A$2:A$1048576),$E94)</f>
        <v>-4.7270318877814956</v>
      </c>
      <c r="H94" cm="1">
        <f t="array" ref="H94">INDEX(_xlfn._TRO_TRAILING(B$2:B$1048576),$E94)</f>
        <v>10.451074721626163</v>
      </c>
      <c r="I94" cm="1">
        <f t="array" ref="I94">INDEX(_xlfn._TRO_TRAILING(C$2:C$1048576),$E94)</f>
        <v>4.1604157915091697</v>
      </c>
      <c r="K94" s="67">
        <v>16739585</v>
      </c>
    </row>
    <row r="95" spans="1:11" x14ac:dyDescent="0.25">
      <c r="A95">
        <v>-4.7222737547462943</v>
      </c>
      <c r="B95">
        <v>37.784235262202948</v>
      </c>
      <c r="C95">
        <v>17.061308667252284</v>
      </c>
      <c r="E95" s="2">
        <v>26</v>
      </c>
      <c r="G95" cm="1">
        <f t="array" ref="G95">INDEX(_xlfn._TRO_TRAILING(A$2:A$1048576),$E95)</f>
        <v>-4.7296928923635768</v>
      </c>
      <c r="H95" cm="1">
        <f t="array" ref="H95">INDEX(_xlfn._TRO_TRAILING(B$2:B$1048576),$E95)</f>
        <v>10.444722167275742</v>
      </c>
      <c r="I95" cm="1">
        <f t="array" ref="I95">INDEX(_xlfn._TRO_TRAILING(C$2:C$1048576),$E95)</f>
        <v>4.1737093707905579</v>
      </c>
      <c r="K95" s="169">
        <v>16738049</v>
      </c>
    </row>
    <row r="96" spans="1:11" x14ac:dyDescent="0.25">
      <c r="A96">
        <v>-4.6998745641485895</v>
      </c>
      <c r="B96">
        <v>38.04964056454962</v>
      </c>
      <c r="C96">
        <v>16.334304863878202</v>
      </c>
      <c r="E96" s="2">
        <v>25</v>
      </c>
      <c r="G96" cm="1">
        <f t="array" ref="G96">INDEX(_xlfn._TRO_TRAILING(A$2:A$1048576),$E96)</f>
        <v>-4.727949613297973</v>
      </c>
      <c r="H96" cm="1">
        <f t="array" ref="H96">INDEX(_xlfn._TRO_TRAILING(B$2:B$1048576),$E96)</f>
        <v>10.4488838568447</v>
      </c>
      <c r="I96" cm="1">
        <f t="array" ref="I96">INDEX(_xlfn._TRO_TRAILING(C$2:C$1048576),$E96)</f>
        <v>4.1650004724202816</v>
      </c>
      <c r="K96" s="170">
        <v>16736513</v>
      </c>
    </row>
    <row r="97" spans="1:11" x14ac:dyDescent="0.25">
      <c r="A97">
        <v>-4.6062746151618601</v>
      </c>
      <c r="B97">
        <v>38.430260735491615</v>
      </c>
      <c r="C97">
        <v>15.669907904564305</v>
      </c>
      <c r="E97" s="2">
        <v>24</v>
      </c>
      <c r="G97" cm="1">
        <f t="array" ref="G97">INDEX(_xlfn._TRO_TRAILING(A$2:A$1048576),$E97)</f>
        <v>-4.7287751668470985</v>
      </c>
      <c r="H97" cm="1">
        <f t="array" ref="H97">INDEX(_xlfn._TRO_TRAILING(B$2:B$1048576),$E97)</f>
        <v>10.446913032057207</v>
      </c>
      <c r="I97" cm="1">
        <f t="array" ref="I97">INDEX(_xlfn._TRO_TRAILING(C$2:C$1048576),$E97)</f>
        <v>4.1691246898794398</v>
      </c>
      <c r="K97" s="68">
        <v>16734977</v>
      </c>
    </row>
    <row r="98" spans="1:11" x14ac:dyDescent="0.25">
      <c r="A98">
        <v>-4.5434320722488533</v>
      </c>
      <c r="B98">
        <v>38.760323767430812</v>
      </c>
      <c r="C98">
        <v>14.974123889630617</v>
      </c>
      <c r="E98" s="2">
        <v>23</v>
      </c>
      <c r="G98" cm="1">
        <f t="array" ref="G98">INDEX(_xlfn._TRO_TRAILING(A$2:A$1048576),$E98)</f>
        <v>-4.7288673388144531</v>
      </c>
      <c r="H98" cm="1">
        <f t="array" ref="H98">INDEX(_xlfn._TRO_TRAILING(B$2:B$1048576),$E98)</f>
        <v>10.446692992063234</v>
      </c>
      <c r="I98" cm="1">
        <f t="array" ref="I98">INDEX(_xlfn._TRO_TRAILING(C$2:C$1048576),$E98)</f>
        <v>4.1695851533314006</v>
      </c>
      <c r="K98" s="171">
        <v>16733441</v>
      </c>
    </row>
    <row r="99" spans="1:11" x14ac:dyDescent="0.25">
      <c r="A99">
        <v>-4.5589589277907203</v>
      </c>
      <c r="B99">
        <v>39.03222617013197</v>
      </c>
      <c r="C99">
        <v>14.254679946403305</v>
      </c>
      <c r="E99" s="2">
        <v>22</v>
      </c>
      <c r="G99" cm="1">
        <f t="array" ref="G99">INDEX(_xlfn._TRO_TRAILING(A$2:A$1048576),$E99)</f>
        <v>-4.7278574413306185</v>
      </c>
      <c r="H99" cm="1">
        <f t="array" ref="H99">INDEX(_xlfn._TRO_TRAILING(B$2:B$1048576),$E99)</f>
        <v>10.449103896838672</v>
      </c>
      <c r="I99" cm="1">
        <f t="array" ref="I99">INDEX(_xlfn._TRO_TRAILING(C$2:C$1048576),$E99)</f>
        <v>4.1645400089683218</v>
      </c>
      <c r="K99" s="69">
        <v>16731905</v>
      </c>
    </row>
    <row r="100" spans="1:11" x14ac:dyDescent="0.25">
      <c r="A100">
        <v>-4.4970181253158028</v>
      </c>
      <c r="B100">
        <v>39.521213926902647</v>
      </c>
      <c r="C100">
        <v>13.669010295363153</v>
      </c>
      <c r="E100" s="2">
        <v>21</v>
      </c>
      <c r="G100" cm="1">
        <f t="array" ref="G100">INDEX(_xlfn._TRO_TRAILING(A$2:A$1048576),$E100)</f>
        <v>-4.7297850643309314</v>
      </c>
      <c r="H100" cm="1">
        <f t="array" ref="H100">INDEX(_xlfn._TRO_TRAILING(B$2:B$1048576),$E100)</f>
        <v>10.444502127281769</v>
      </c>
      <c r="I100" cm="1">
        <f t="array" ref="I100">INDEX(_xlfn._TRO_TRAILING(C$2:C$1048576),$E100)</f>
        <v>4.1741698342425178</v>
      </c>
      <c r="K100" s="172">
        <v>16730369</v>
      </c>
    </row>
    <row r="101" spans="1:11" x14ac:dyDescent="0.25">
      <c r="A101">
        <v>-4.4906430711018501</v>
      </c>
      <c r="B101">
        <v>39.668317640133097</v>
      </c>
      <c r="C101">
        <v>12.914137580081288</v>
      </c>
      <c r="E101" s="2">
        <v>20</v>
      </c>
      <c r="G101" cm="1">
        <f t="array" ref="G101">INDEX(_xlfn._TRO_TRAILING(A$2:A$1048576),$E101)</f>
        <v>-4.7269397158141429</v>
      </c>
      <c r="H101" cm="1">
        <f t="array" ref="H101">INDEX(_xlfn._TRO_TRAILING(B$2:B$1048576),$E101)</f>
        <v>10.451294761620133</v>
      </c>
      <c r="I101" cm="1">
        <f t="array" ref="I101">INDEX(_xlfn._TRO_TRAILING(C$2:C$1048576),$E101)</f>
        <v>4.159955328057217</v>
      </c>
      <c r="K101" s="173">
        <v>16728833</v>
      </c>
    </row>
    <row r="102" spans="1:11" x14ac:dyDescent="0.25">
      <c r="A102">
        <v>-4.5051261072132762</v>
      </c>
      <c r="B102">
        <v>39.757778609798351</v>
      </c>
      <c r="C102">
        <v>12.146503985500914</v>
      </c>
      <c r="E102" s="2">
        <v>19</v>
      </c>
      <c r="G102" cm="1">
        <f t="array" ref="G102">INDEX(_xlfn._TRO_TRAILING(A$2:A$1048576),$E102)</f>
        <v>-4.7307027898474105</v>
      </c>
      <c r="H102" cm="1">
        <f t="array" ref="H102">INDEX(_xlfn._TRO_TRAILING(B$2:B$1048576),$E102)</f>
        <v>10.442311262500304</v>
      </c>
      <c r="I102" cm="1">
        <f t="array" ref="I102">INDEX(_xlfn._TRO_TRAILING(C$2:C$1048576),$E102)</f>
        <v>4.1787545151536358</v>
      </c>
      <c r="K102" s="22">
        <v>16727297</v>
      </c>
    </row>
    <row r="103" spans="1:11" x14ac:dyDescent="0.25">
      <c r="A103">
        <v>-4.1962096457683877</v>
      </c>
      <c r="B103">
        <v>40.342267757670982</v>
      </c>
      <c r="C103">
        <v>11.788382676882955</v>
      </c>
      <c r="E103" s="2">
        <v>18</v>
      </c>
      <c r="G103" cm="1">
        <f t="array" ref="G103">INDEX(_xlfn._TRO_TRAILING(A$2:A$1048576),$E103)</f>
        <v>-4.7260219902976166</v>
      </c>
      <c r="H103" cm="1">
        <f t="array" ref="H103">INDEX(_xlfn._TRO_TRAILING(B$2:B$1048576),$E103)</f>
        <v>10.453485626401708</v>
      </c>
      <c r="I103" cm="1">
        <f t="array" ref="I103">INDEX(_xlfn._TRO_TRAILING(C$2:C$1048576),$E103)</f>
        <v>4.1553706471458653</v>
      </c>
      <c r="K103" s="174">
        <v>16725761</v>
      </c>
    </row>
    <row r="104" spans="1:11" x14ac:dyDescent="0.25">
      <c r="A104">
        <v>-3.8771037630609366</v>
      </c>
      <c r="B104">
        <v>41.043776593286267</v>
      </c>
      <c r="C104">
        <v>11.696668914516664</v>
      </c>
      <c r="E104" s="2">
        <v>17</v>
      </c>
      <c r="G104" cm="1">
        <f t="array" ref="G104">INDEX(_xlfn._TRO_TRAILING(A$2:A$1048576),$E104)</f>
        <v>-4.7309611191574819</v>
      </c>
      <c r="H104" cm="1">
        <f t="array" ref="H104">INDEX(_xlfn._TRO_TRAILING(B$2:B$1048576),$E104)</f>
        <v>10.44169455894647</v>
      </c>
      <c r="I104" cm="1">
        <f t="array" ref="I104">INDEX(_xlfn._TRO_TRAILING(C$2:C$1048576),$E104)</f>
        <v>4.180045050760854</v>
      </c>
      <c r="K104" s="70">
        <v>16724225</v>
      </c>
    </row>
    <row r="105" spans="1:11" x14ac:dyDescent="0.25">
      <c r="A105">
        <v>-3.5179880430728394</v>
      </c>
      <c r="B105">
        <v>41.70626945239129</v>
      </c>
      <c r="C105">
        <v>11.539361853505397</v>
      </c>
      <c r="E105" s="2">
        <v>16</v>
      </c>
      <c r="G105" cm="1">
        <f t="array" ref="G105">INDEX(_xlfn._TRO_TRAILING(A$2:A$1048576),$E105)</f>
        <v>-4.7266813865041311</v>
      </c>
      <c r="H105" cm="1">
        <f t="array" ref="H105">INDEX(_xlfn._TRO_TRAILING(B$2:B$1048576),$E105)</f>
        <v>10.45191146517382</v>
      </c>
      <c r="I105" cm="1">
        <f t="array" ref="I105">INDEX(_xlfn._TRO_TRAILING(C$2:C$1048576),$E105)</f>
        <v>4.1586647924503044</v>
      </c>
      <c r="K105" s="175">
        <v>16722689</v>
      </c>
    </row>
    <row r="106" spans="1:11" x14ac:dyDescent="0.25">
      <c r="A106">
        <v>-3.2656997826731424</v>
      </c>
      <c r="B106">
        <v>42.1407546058226</v>
      </c>
      <c r="C106">
        <v>10.972750496085112</v>
      </c>
      <c r="E106" s="2">
        <v>15</v>
      </c>
      <c r="G106" cm="1">
        <f t="array" ref="G106">INDEX(_xlfn._TRO_TRAILING(A$2:A$1048576),$E106)</f>
        <v>-4.7300433936408783</v>
      </c>
      <c r="H106" cm="1">
        <f t="array" ref="H106">INDEX(_xlfn._TRO_TRAILING(B$2:B$1048576),$E106)</f>
        <v>10.443885423728233</v>
      </c>
      <c r="I106" cm="1">
        <f t="array" ref="I106">INDEX(_xlfn._TRO_TRAILING(C$2:C$1048576),$E106)</f>
        <v>4.1754603698491115</v>
      </c>
      <c r="K106" s="176">
        <v>16721153</v>
      </c>
    </row>
    <row r="107" spans="1:11" x14ac:dyDescent="0.25">
      <c r="A107">
        <v>-3.2849174790861473</v>
      </c>
      <c r="B107">
        <v>42.285145028437555</v>
      </c>
      <c r="C107">
        <v>10.216994920510437</v>
      </c>
      <c r="E107" s="2">
        <v>14</v>
      </c>
      <c r="G107" cm="1">
        <f t="array" ref="G107">INDEX(_xlfn._TRO_TRAILING(A$2:A$1048576),$E107)</f>
        <v>-4.727599112020739</v>
      </c>
      <c r="H107" cm="1">
        <f t="array" ref="H107">INDEX(_xlfn._TRO_TRAILING(B$2:B$1048576),$E107)</f>
        <v>10.44972060039205</v>
      </c>
      <c r="I107" cm="1">
        <f t="array" ref="I107">INDEX(_xlfn._TRO_TRAILING(C$2:C$1048576),$E107)</f>
        <v>4.1632494733620602</v>
      </c>
      <c r="K107" s="71">
        <v>16719617</v>
      </c>
    </row>
    <row r="108" spans="1:11" x14ac:dyDescent="0.25">
      <c r="A108">
        <v>-3.4461445173873235</v>
      </c>
      <c r="B108">
        <v>42.293204275714814</v>
      </c>
      <c r="C108">
        <v>9.4577444588077899</v>
      </c>
      <c r="E108" s="2">
        <v>13</v>
      </c>
      <c r="G108" cm="1">
        <f t="array" ref="G108">INDEX(_xlfn._TRO_TRAILING(A$2:A$1048576),$E108)</f>
        <v>-4.7291256681242713</v>
      </c>
      <c r="H108" cm="1">
        <f t="array" ref="H108">INDEX(_xlfn._TRO_TRAILING(B$2:B$1048576),$E108)</f>
        <v>10.446076288510003</v>
      </c>
      <c r="I108" cm="1">
        <f t="array" ref="I108">INDEX(_xlfn._TRO_TRAILING(C$2:C$1048576),$E108)</f>
        <v>4.1708756889373557</v>
      </c>
      <c r="K108" s="177">
        <v>16718081</v>
      </c>
    </row>
    <row r="109" spans="1:11" x14ac:dyDescent="0.25">
      <c r="A109">
        <v>-3.6497655924563128</v>
      </c>
      <c r="B109">
        <v>42.212045737856201</v>
      </c>
      <c r="C109">
        <v>8.7127470155278743</v>
      </c>
      <c r="E109" s="2">
        <v>12</v>
      </c>
      <c r="G109" cm="1">
        <f t="array" ref="G109">INDEX(_xlfn._TRO_TRAILING(A$2:A$1048576),$E109)</f>
        <v>-4.7285168375373425</v>
      </c>
      <c r="H109" cm="1">
        <f t="array" ref="H109">INDEX(_xlfn._TRO_TRAILING(B$2:B$1048576),$E109)</f>
        <v>10.447529735610285</v>
      </c>
      <c r="I109" cm="1">
        <f t="array" ref="I109">INDEX(_xlfn._TRO_TRAILING(C$2:C$1048576),$E109)</f>
        <v>4.1678341542738035</v>
      </c>
      <c r="K109" s="72">
        <v>16716545</v>
      </c>
    </row>
    <row r="110" spans="1:11" x14ac:dyDescent="0.25">
      <c r="A110">
        <v>-3.8233531323330587</v>
      </c>
      <c r="B110">
        <v>42.052442532599756</v>
      </c>
      <c r="C110">
        <v>7.9751118795383844</v>
      </c>
      <c r="E110" s="2">
        <v>11</v>
      </c>
      <c r="G110" cm="1">
        <f t="array" ref="G110">INDEX(_xlfn._TRO_TRAILING(A$2:A$1048576),$E110)</f>
        <v>-4.7282079426076606</v>
      </c>
      <c r="H110" cm="1">
        <f t="array" ref="H110">INDEX(_xlfn._TRO_TRAILING(B$2:B$1048576),$E110)</f>
        <v>10.448267153291786</v>
      </c>
      <c r="I110" cm="1">
        <f t="array" ref="I110">INDEX(_xlfn._TRO_TRAILING(C$2:C$1048576),$E110)</f>
        <v>4.1662910080255759</v>
      </c>
      <c r="K110" s="178">
        <v>16715009</v>
      </c>
    </row>
    <row r="111" spans="1:11" x14ac:dyDescent="0.25">
      <c r="A111">
        <v>-3.950256108551446</v>
      </c>
      <c r="B111">
        <v>42.159419338700758</v>
      </c>
      <c r="C111">
        <v>7.2419962744591588</v>
      </c>
      <c r="E111" s="2">
        <v>10</v>
      </c>
      <c r="G111" cm="1">
        <f t="array" ref="G111">INDEX(_xlfn._TRO_TRAILING(A$2:A$1048576),$E111)</f>
        <v>-4.729434563053954</v>
      </c>
      <c r="H111" cm="1">
        <f t="array" ref="H111">INDEX(_xlfn._TRO_TRAILING(B$2:B$1048576),$E111)</f>
        <v>10.445338870828504</v>
      </c>
      <c r="I111" cm="1">
        <f t="array" ref="I111">INDEX(_xlfn._TRO_TRAILING(C$2:C$1048576),$E111)</f>
        <v>4.1724188351855833</v>
      </c>
      <c r="K111" s="179">
        <v>16713473</v>
      </c>
    </row>
    <row r="112" spans="1:11" x14ac:dyDescent="0.25">
      <c r="A112">
        <v>-3.954967524428544</v>
      </c>
      <c r="B112">
        <v>42.359303303383356</v>
      </c>
      <c r="C112">
        <v>6.5317115610237879</v>
      </c>
      <c r="E112" s="2">
        <v>9</v>
      </c>
      <c r="G112" cm="1">
        <f t="array" ref="G112">INDEX(_xlfn._TRO_TRAILING(A$2:A$1048576),$E112)</f>
        <v>-4.8262488355298254</v>
      </c>
      <c r="H112" cm="1">
        <f t="array" ref="H112">INDEX(_xlfn._TRO_TRAILING(B$2:B$1048576),$E112)</f>
        <v>10.125212436046409</v>
      </c>
      <c r="I112" cm="1">
        <f t="array" ref="I112">INDEX(_xlfn._TRO_TRAILING(C$2:C$1048576),$E112)</f>
        <v>4.1776919099424896</v>
      </c>
      <c r="K112" s="23">
        <v>16711937</v>
      </c>
    </row>
    <row r="113" spans="1:11" x14ac:dyDescent="0.25">
      <c r="A113">
        <v>-4.0233336052813238</v>
      </c>
      <c r="B113">
        <v>42.351318713554846</v>
      </c>
      <c r="C113">
        <v>5.760751110056102</v>
      </c>
      <c r="E113" s="2">
        <v>8</v>
      </c>
      <c r="G113" cm="1">
        <f t="array" ref="G113">INDEX(_xlfn._TRO_TRAILING(A$2:A$1048576),$E113)</f>
        <v>-5.0669446160444629</v>
      </c>
      <c r="H113" cm="1">
        <f t="array" ref="H113">INDEX(_xlfn._TRO_TRAILING(B$2:B$1048576),$E113)</f>
        <v>8.6256147387355746</v>
      </c>
      <c r="I113" cm="1">
        <f t="array" ref="I113">INDEX(_xlfn._TRO_TRAILING(C$2:C$1048576),$E113)</f>
        <v>4.2838897804588001</v>
      </c>
      <c r="K113" s="180">
        <v>16711943</v>
      </c>
    </row>
    <row r="114" spans="1:11" x14ac:dyDescent="0.25">
      <c r="A114">
        <v>-4.065907289894918</v>
      </c>
      <c r="B114">
        <v>42.490064078706716</v>
      </c>
      <c r="C114">
        <v>5.0097597941938918</v>
      </c>
      <c r="E114" s="2">
        <v>7</v>
      </c>
      <c r="G114" cm="1">
        <f t="array" ref="G114">INDEX(_xlfn._TRO_TRAILING(A$2:A$1048576),$E114)</f>
        <v>-4.7974044527719046</v>
      </c>
      <c r="H114" cm="1">
        <f t="array" ref="H114">INDEX(_xlfn._TRO_TRAILING(B$2:B$1048576),$E114)</f>
        <v>7.2777108964228692</v>
      </c>
      <c r="I114" cm="1">
        <f t="array" ref="I114">INDEX(_xlfn._TRO_TRAILING(C$2:C$1048576),$E114)</f>
        <v>3.9554600631995571</v>
      </c>
      <c r="K114" s="31">
        <v>16711949</v>
      </c>
    </row>
    <row r="115" spans="1:11" x14ac:dyDescent="0.25">
      <c r="A115">
        <v>-4.0432970496456226</v>
      </c>
      <c r="B115">
        <v>42.599627687508239</v>
      </c>
      <c r="C115">
        <v>4.2569094285887017</v>
      </c>
      <c r="E115" s="2">
        <v>6</v>
      </c>
      <c r="G115" cm="1">
        <f t="array" ref="G115">INDEX(_xlfn._TRO_TRAILING(A$2:A$1048576),$E115)</f>
        <v>-4.2853790297980385</v>
      </c>
      <c r="H115" cm="1">
        <f t="array" ref="H115">INDEX(_xlfn._TRO_TRAILING(B$2:B$1048576),$E115)</f>
        <v>7.3488297049937579</v>
      </c>
      <c r="I115" cm="1">
        <f t="array" ref="I115">INDEX(_xlfn._TRO_TRAILING(C$2:C$1048576),$E115)</f>
        <v>2.5193070321776938</v>
      </c>
      <c r="K115" s="181">
        <v>16711955</v>
      </c>
    </row>
    <row r="116" spans="1:11" x14ac:dyDescent="0.25">
      <c r="A116">
        <v>-3.984840869706582</v>
      </c>
      <c r="B116">
        <v>42.795313877304835</v>
      </c>
      <c r="C116">
        <v>3.5163084260374329</v>
      </c>
      <c r="E116" s="2">
        <v>5</v>
      </c>
      <c r="G116" cm="1">
        <f t="array" ref="G116">INDEX(_xlfn._TRO_TRAILING(A$2:A$1048576),$E116)</f>
        <v>-3.6961647654295051</v>
      </c>
      <c r="H116" cm="1">
        <f t="array" ref="H116">INDEX(_xlfn._TRO_TRAILING(B$2:B$1048576),$E116)</f>
        <v>7.8818249327266869</v>
      </c>
      <c r="I116" cm="1">
        <f t="array" ref="I116">INDEX(_xlfn._TRO_TRAILING(C$2:C$1048576),$E116)</f>
        <v>1.2077093603054774</v>
      </c>
      <c r="K116" s="182">
        <v>16711961</v>
      </c>
    </row>
    <row r="117" spans="1:11" x14ac:dyDescent="0.25">
      <c r="A117">
        <v>-3.9188112700790674</v>
      </c>
      <c r="B117">
        <v>42.955275772599236</v>
      </c>
      <c r="C117">
        <v>2.7626295603015825</v>
      </c>
      <c r="E117" s="2">
        <v>4</v>
      </c>
      <c r="G117" cm="1">
        <f t="array" ref="G117">INDEX(_xlfn._TRO_TRAILING(A$2:A$1048576),$E117)</f>
        <v>-3.0706497404665223</v>
      </c>
      <c r="H117" cm="1">
        <f t="array" ref="H117">INDEX(_xlfn._TRO_TRAILING(B$2:B$1048576),$E117)</f>
        <v>8.7109820810565619</v>
      </c>
      <c r="I117" cm="1">
        <f t="array" ref="I117">INDEX(_xlfn._TRO_TRAILING(C$2:C$1048576),$E117)</f>
        <v>0.1095106650423701</v>
      </c>
      <c r="K117" s="73">
        <v>16711967</v>
      </c>
    </row>
    <row r="118" spans="1:11" x14ac:dyDescent="0.25">
      <c r="A118">
        <v>-3.8607860285616491</v>
      </c>
      <c r="B118">
        <v>43.097711390262262</v>
      </c>
      <c r="C118">
        <v>2.0023783915429614</v>
      </c>
      <c r="E118" s="2">
        <v>3</v>
      </c>
      <c r="G118" cm="1">
        <f t="array" ref="G118">INDEX(_xlfn._TRO_TRAILING(A$2:A$1048576),$E118)</f>
        <v>-2.8077231344722966</v>
      </c>
      <c r="H118" cm="1">
        <f t="array" ref="H118">INDEX(_xlfn._TRO_TRAILING(B$2:B$1048576),$E118)</f>
        <v>8.1010218452350955</v>
      </c>
      <c r="I118" cm="1">
        <f t="array" ref="I118">INDEX(_xlfn._TRO_TRAILING(C$2:C$1048576),$E118)</f>
        <v>-1.0459082041578225</v>
      </c>
      <c r="K118" s="183">
        <v>16711973</v>
      </c>
    </row>
    <row r="119" spans="1:11" x14ac:dyDescent="0.25">
      <c r="A119">
        <v>-3.8131443894951689</v>
      </c>
      <c r="B119">
        <v>43.198985505390119</v>
      </c>
      <c r="C119">
        <v>1.2383259323481755</v>
      </c>
      <c r="E119" s="2">
        <v>2</v>
      </c>
      <c r="G119" cm="1">
        <f t="array" ref="G119">INDEX(_xlfn._TRO_TRAILING(A$2:A$1048576),$E119)</f>
        <v>-2.074784656018227</v>
      </c>
      <c r="H119" cm="1">
        <f t="array" ref="H119">INDEX(_xlfn._TRO_TRAILING(B$2:B$1048576),$E119)</f>
        <v>9.1105853102206904</v>
      </c>
      <c r="I119" cm="1">
        <f t="array" ref="I119">INDEX(_xlfn._TRO_TRAILING(C$2:C$1048576),$E119)</f>
        <v>-1.901553113980615</v>
      </c>
      <c r="K119" s="74">
        <v>16711979</v>
      </c>
    </row>
    <row r="120" spans="1:11" x14ac:dyDescent="0.25">
      <c r="A120">
        <v>-3.7838298576719716</v>
      </c>
      <c r="B120">
        <v>43.21416591788936</v>
      </c>
      <c r="C120">
        <v>0.46405775722723652</v>
      </c>
      <c r="E120" s="2">
        <v>1</v>
      </c>
      <c r="G120" cm="1">
        <f t="array" ref="G120">INDEX(_xlfn._TRO_TRAILING(A$2:A$1048576),$E120)</f>
        <v>-1.764511022728896</v>
      </c>
      <c r="H120" cm="1">
        <f t="array" ref="H120">INDEX(_xlfn._TRO_TRAILING(B$2:B$1048576),$E120)</f>
        <v>9.3344895185798489</v>
      </c>
      <c r="I120" cm="1">
        <f t="array" ref="I120">INDEX(_xlfn._TRO_TRAILING(C$2:C$1048576),$E120)</f>
        <v>-3.3652014668132231</v>
      </c>
      <c r="K120" s="184">
        <v>16711985</v>
      </c>
    </row>
  </sheetData>
  <sortState xmlns:xlrd2="http://schemas.microsoft.com/office/spreadsheetml/2017/richdata2" ref="E2:E120">
    <sortCondition descending="1" ref="E2:E120"/>
  </sortState>
  <dataConsolidate/>
  <conditionalFormatting sqref="E1:E104857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Load_Arch">
                <anchor moveWithCells="1" sizeWithCells="1">
                  <from>
                    <xdr:col>2</xdr:col>
                    <xdr:colOff>571500</xdr:colOff>
                    <xdr:row>0</xdr:row>
                    <xdr:rowOff>0</xdr:rowOff>
                  </from>
                  <to>
                    <xdr:col>3</xdr:col>
                    <xdr:colOff>571500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502FF-059F-4AAF-84BC-F711A2D906D7}">
  <sheetPr codeName="Sheet3"/>
  <dimension ref="A1:V180"/>
  <sheetViews>
    <sheetView tabSelected="1" zoomScaleNormal="100" workbookViewId="0">
      <pane ySplit="1" topLeftCell="A2" activePane="bottomLeft" state="frozen"/>
      <selection pane="bottomLeft" activeCell="T17" sqref="T17"/>
    </sheetView>
  </sheetViews>
  <sheetFormatPr defaultRowHeight="15" x14ac:dyDescent="0.25"/>
  <cols>
    <col min="4" max="4" width="2.28515625" customWidth="1"/>
    <col min="5" max="5" width="4" style="7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/>
      <c r="L1" s="77" t="str" cm="1">
        <f t="array" ref="L1">FileNameMatch(Base!vbaFileName,Arch!vbaFileName)</f>
        <v>Squalodon_sp-NMVP197773_L79_simplified(194009)_repaired_V1_aligned</v>
      </c>
      <c r="M1" s="77"/>
      <c r="N1" s="77"/>
      <c r="O1" s="77"/>
      <c r="P1" s="77"/>
      <c r="Q1" s="77"/>
      <c r="R1" s="77"/>
      <c r="S1" s="77"/>
      <c r="T1" s="77"/>
      <c r="U1" s="77"/>
      <c r="V1" s="77"/>
    </row>
    <row r="2" spans="1:22" x14ac:dyDescent="0.25">
      <c r="A2" cm="1">
        <f t="array" ref="A2:C61">_xlfn.VSTACK(GraphData_Base)</f>
        <v>-5.4443505280093181</v>
      </c>
      <c r="B2">
        <v>43.137755410174179</v>
      </c>
      <c r="C2">
        <v>-0.12240630138487089</v>
      </c>
      <c r="E2" s="75">
        <v>0</v>
      </c>
      <c r="F2" s="3" cm="1">
        <f t="array" ref="F2">HSLtoRGB(E2,255,128)</f>
        <v>66047</v>
      </c>
    </row>
    <row r="3" spans="1:22" x14ac:dyDescent="0.25">
      <c r="A3">
        <v>-7.1353780530979778</v>
      </c>
      <c r="B3">
        <v>42.740832898327675</v>
      </c>
      <c r="C3">
        <v>-9.9264211624937995E-2</v>
      </c>
      <c r="E3" s="75">
        <f t="shared" ref="E3:E34" si="0">+E2+1</f>
        <v>1</v>
      </c>
      <c r="F3" s="78" cm="1">
        <f t="array" ref="F3">HSLtoRGB(E3,255,128)</f>
        <v>67583</v>
      </c>
    </row>
    <row r="4" spans="1:22" x14ac:dyDescent="0.25">
      <c r="A4">
        <v>-8.5146174512803192</v>
      </c>
      <c r="B4">
        <v>42.022079981841756</v>
      </c>
      <c r="C4">
        <v>0.33181015035350492</v>
      </c>
      <c r="E4" s="75">
        <f t="shared" si="0"/>
        <v>2</v>
      </c>
      <c r="F4" s="32" cm="1">
        <f t="array" ref="F4">HSLtoRGB(E4,255,128)</f>
        <v>69119</v>
      </c>
    </row>
    <row r="5" spans="1:22" x14ac:dyDescent="0.25">
      <c r="A5">
        <v>-9.9730038829199437</v>
      </c>
      <c r="B5">
        <v>41.208172091801124</v>
      </c>
      <c r="C5">
        <v>0.69182170503162732</v>
      </c>
      <c r="E5" s="75">
        <f t="shared" si="0"/>
        <v>3</v>
      </c>
      <c r="F5" s="79" cm="1">
        <f t="array" ref="F5">HSLtoRGB(E5,255,128)</f>
        <v>70655</v>
      </c>
    </row>
    <row r="6" spans="1:22" x14ac:dyDescent="0.25">
      <c r="A6">
        <v>-11.197368606667455</v>
      </c>
      <c r="B6">
        <v>40.227219203964587</v>
      </c>
      <c r="C6">
        <v>1.1235109621530039</v>
      </c>
      <c r="E6" s="75">
        <f t="shared" si="0"/>
        <v>4</v>
      </c>
      <c r="F6" s="80" cm="1">
        <f t="array" ref="F6">HSLtoRGB(E6,255,128)</f>
        <v>72191</v>
      </c>
    </row>
    <row r="7" spans="1:22" x14ac:dyDescent="0.25">
      <c r="A7">
        <v>-11.965472985398307</v>
      </c>
      <c r="B7">
        <v>39.233130951069924</v>
      </c>
      <c r="C7">
        <v>1.0808799735296577</v>
      </c>
      <c r="E7" s="75">
        <f t="shared" si="0"/>
        <v>5</v>
      </c>
      <c r="F7" s="33" cm="1">
        <f t="array" ref="F7">HSLtoRGB(E7,255,128)</f>
        <v>73727</v>
      </c>
    </row>
    <row r="8" spans="1:22" x14ac:dyDescent="0.25">
      <c r="A8">
        <v>-12.867062126070575</v>
      </c>
      <c r="B8">
        <v>38.094217772801265</v>
      </c>
      <c r="C8">
        <v>1.6373226274774186</v>
      </c>
      <c r="E8" s="75">
        <f t="shared" si="0"/>
        <v>6</v>
      </c>
      <c r="F8" s="81" cm="1">
        <f t="array" ref="F8">HSLtoRGB(E8,255,128)</f>
        <v>75263</v>
      </c>
    </row>
    <row r="9" spans="1:22" x14ac:dyDescent="0.25">
      <c r="A9">
        <v>-13.121719426608642</v>
      </c>
      <c r="B9">
        <v>37.240561492809924</v>
      </c>
      <c r="C9">
        <v>3.186046237332711</v>
      </c>
      <c r="E9" s="75">
        <f t="shared" si="0"/>
        <v>7</v>
      </c>
      <c r="F9" s="34" cm="1">
        <f t="array" ref="F9">HSLtoRGB(E9,255,128)</f>
        <v>76799</v>
      </c>
    </row>
    <row r="10" spans="1:22" x14ac:dyDescent="0.25">
      <c r="A10">
        <v>-13.550543789547572</v>
      </c>
      <c r="B10">
        <v>35.852496866883868</v>
      </c>
      <c r="C10">
        <v>3.9758952749773346</v>
      </c>
      <c r="E10" s="75">
        <f t="shared" si="0"/>
        <v>8</v>
      </c>
      <c r="F10" s="82" cm="1">
        <f t="array" ref="F10">HSLtoRGB(E10,255,128)</f>
        <v>78335</v>
      </c>
    </row>
    <row r="11" spans="1:22" x14ac:dyDescent="0.25">
      <c r="A11">
        <v>-14.076057886982552</v>
      </c>
      <c r="B11">
        <v>34.103547531106905</v>
      </c>
      <c r="C11">
        <v>4.4793079100282984</v>
      </c>
      <c r="E11" s="75">
        <f t="shared" si="0"/>
        <v>9</v>
      </c>
      <c r="F11" s="83" cm="1">
        <f t="array" ref="F11">HSLtoRGB(E11,255,128)</f>
        <v>79871</v>
      </c>
    </row>
    <row r="12" spans="1:22" x14ac:dyDescent="0.25">
      <c r="A12">
        <v>-14.209838587667093</v>
      </c>
      <c r="B12">
        <v>32.35282742479869</v>
      </c>
      <c r="C12">
        <v>5.2798002626150282</v>
      </c>
      <c r="E12" s="75">
        <f t="shared" si="0"/>
        <v>10</v>
      </c>
      <c r="F12" s="9" cm="1">
        <f t="array" ref="F12">HSLtoRGB(E12,255,128)</f>
        <v>81407</v>
      </c>
    </row>
    <row r="13" spans="1:22" x14ac:dyDescent="0.25">
      <c r="A13">
        <v>-14.012422462031118</v>
      </c>
      <c r="B13">
        <v>30.962659021357005</v>
      </c>
      <c r="C13">
        <v>6.4948580706499115</v>
      </c>
      <c r="E13" s="75">
        <f t="shared" si="0"/>
        <v>11</v>
      </c>
      <c r="F13" s="84" cm="1">
        <f t="array" ref="F13">HSLtoRGB(E13,255,128)</f>
        <v>82943</v>
      </c>
    </row>
    <row r="14" spans="1:22" x14ac:dyDescent="0.25">
      <c r="A14">
        <v>-13.442815008835481</v>
      </c>
      <c r="B14">
        <v>29.356568933777858</v>
      </c>
      <c r="C14">
        <v>6.5241269450562225</v>
      </c>
      <c r="E14" s="75">
        <f t="shared" si="0"/>
        <v>12</v>
      </c>
      <c r="F14" s="4" cm="1">
        <f t="array" ref="F14">HSLtoRGB(E14,255,128)</f>
        <v>84479</v>
      </c>
    </row>
    <row r="15" spans="1:22" x14ac:dyDescent="0.25">
      <c r="A15">
        <v>-12.744836985349274</v>
      </c>
      <c r="B15">
        <v>28.116859738600837</v>
      </c>
      <c r="C15">
        <v>6.1342717309763772</v>
      </c>
      <c r="E15" s="75">
        <f t="shared" si="0"/>
        <v>13</v>
      </c>
      <c r="F15" s="85" cm="1">
        <f t="array" ref="F15">HSLtoRGB(E15,255,128)</f>
        <v>86015</v>
      </c>
    </row>
    <row r="16" spans="1:22" x14ac:dyDescent="0.25">
      <c r="A16">
        <v>-11.776094103312385</v>
      </c>
      <c r="B16">
        <v>26.885320959033901</v>
      </c>
      <c r="C16">
        <v>5.9524353696740988</v>
      </c>
      <c r="E16" s="75">
        <f t="shared" si="0"/>
        <v>14</v>
      </c>
      <c r="F16" s="86" cm="1">
        <f t="array" ref="F16">HSLtoRGB(E16,255,128)</f>
        <v>87551</v>
      </c>
    </row>
    <row r="17" spans="1:6" x14ac:dyDescent="0.25">
      <c r="A17">
        <v>-10.613203775084772</v>
      </c>
      <c r="B17">
        <v>25.907564030258687</v>
      </c>
      <c r="C17">
        <v>5.5313105112645005</v>
      </c>
      <c r="E17" s="75">
        <f t="shared" si="0"/>
        <v>15</v>
      </c>
      <c r="F17" s="35" cm="1">
        <f t="array" ref="F17">HSLtoRGB(E17,255,128)</f>
        <v>89087</v>
      </c>
    </row>
    <row r="18" spans="1:6" x14ac:dyDescent="0.25">
      <c r="A18">
        <v>-9.8587080839060857</v>
      </c>
      <c r="B18">
        <v>24.434762572590159</v>
      </c>
      <c r="C18">
        <v>4.6441089379512297</v>
      </c>
      <c r="E18" s="75">
        <f t="shared" si="0"/>
        <v>16</v>
      </c>
      <c r="F18" s="87" cm="1">
        <f t="array" ref="F18">HSLtoRGB(E18,255,128)</f>
        <v>90623</v>
      </c>
    </row>
    <row r="19" spans="1:6" x14ac:dyDescent="0.25">
      <c r="A19">
        <v>-9.8113295086700134</v>
      </c>
      <c r="B19">
        <v>22.766013582231395</v>
      </c>
      <c r="C19">
        <v>3.5349982051786468</v>
      </c>
      <c r="E19" s="75">
        <f t="shared" si="0"/>
        <v>17</v>
      </c>
      <c r="F19" s="36" cm="1">
        <f t="array" ref="F19">HSLtoRGB(E19,255,128)</f>
        <v>92159</v>
      </c>
    </row>
    <row r="20" spans="1:6" x14ac:dyDescent="0.25">
      <c r="A20">
        <v>-9.8927968351943356</v>
      </c>
      <c r="B20">
        <v>21.097042608500754</v>
      </c>
      <c r="C20">
        <v>2.3522215816984544</v>
      </c>
      <c r="E20" s="75">
        <f t="shared" si="0"/>
        <v>18</v>
      </c>
      <c r="F20" s="88" cm="1">
        <f t="array" ref="F20">HSLtoRGB(E20,255,128)</f>
        <v>93695</v>
      </c>
    </row>
    <row r="21" spans="1:6" x14ac:dyDescent="0.25">
      <c r="A21">
        <v>-10.101889086306009</v>
      </c>
      <c r="B21">
        <v>19.272159574815447</v>
      </c>
      <c r="C21">
        <v>1.8134863478020415</v>
      </c>
      <c r="E21" s="75">
        <f t="shared" si="0"/>
        <v>19</v>
      </c>
      <c r="F21" s="89" cm="1">
        <f t="array" ref="F21">HSLtoRGB(E21,255,128)</f>
        <v>95231</v>
      </c>
    </row>
    <row r="22" spans="1:6" x14ac:dyDescent="0.25">
      <c r="A22">
        <v>-9.9721983712100748</v>
      </c>
      <c r="B22">
        <v>17.430667715514382</v>
      </c>
      <c r="C22">
        <v>1.5487833091000767</v>
      </c>
      <c r="E22" s="75">
        <f t="shared" si="0"/>
        <v>20</v>
      </c>
      <c r="F22" s="10" cm="1">
        <f t="array" ref="F22">HSLtoRGB(E22,255,128)</f>
        <v>96767</v>
      </c>
    </row>
    <row r="23" spans="1:6" x14ac:dyDescent="0.25">
      <c r="A23">
        <v>-9.5205742890116483</v>
      </c>
      <c r="B23">
        <v>16.039594704469248</v>
      </c>
      <c r="C23">
        <v>1.1820437752629147</v>
      </c>
      <c r="E23" s="75">
        <f t="shared" si="0"/>
        <v>21</v>
      </c>
      <c r="F23" s="90" cm="1">
        <f t="array" ref="F23">HSLtoRGB(E23,255,128)</f>
        <v>98303</v>
      </c>
    </row>
    <row r="24" spans="1:6" x14ac:dyDescent="0.25">
      <c r="A24">
        <v>-8.9767666088855407</v>
      </c>
      <c r="B24">
        <v>14.524682156738256</v>
      </c>
      <c r="C24">
        <v>0.97983568463326609</v>
      </c>
      <c r="E24" s="75">
        <f t="shared" si="0"/>
        <v>22</v>
      </c>
      <c r="F24" s="37" cm="1">
        <f t="array" ref="F24">HSLtoRGB(E24,255,128)</f>
        <v>99583</v>
      </c>
    </row>
    <row r="25" spans="1:6" x14ac:dyDescent="0.25">
      <c r="A25">
        <v>-8.1473011075777819</v>
      </c>
      <c r="B25">
        <v>13.308758885008931</v>
      </c>
      <c r="C25">
        <v>0.66384525548762441</v>
      </c>
      <c r="E25" s="75">
        <f t="shared" si="0"/>
        <v>23</v>
      </c>
      <c r="F25" s="91" cm="1">
        <f t="array" ref="F25">HSLtoRGB(E25,255,128)</f>
        <v>101119</v>
      </c>
    </row>
    <row r="26" spans="1:6" x14ac:dyDescent="0.25">
      <c r="A26">
        <v>-7.3512902189384643</v>
      </c>
      <c r="B26">
        <v>12.324526077275056</v>
      </c>
      <c r="C26">
        <v>-8.3717698922466693E-2</v>
      </c>
      <c r="E26" s="75">
        <f t="shared" si="0"/>
        <v>24</v>
      </c>
      <c r="F26" s="92" cm="1">
        <f t="array" ref="F26">HSLtoRGB(E26,255,128)</f>
        <v>102655</v>
      </c>
    </row>
    <row r="27" spans="1:6" x14ac:dyDescent="0.25">
      <c r="A27">
        <v>-6.3860774717516611</v>
      </c>
      <c r="B27">
        <v>11.403682579182341</v>
      </c>
      <c r="C27">
        <v>-0.84266487398433476</v>
      </c>
      <c r="E27" s="75">
        <f t="shared" si="0"/>
        <v>25</v>
      </c>
      <c r="F27" s="5" cm="1">
        <f t="array" ref="F27">HSLtoRGB(E27,255,128)</f>
        <v>104191</v>
      </c>
    </row>
    <row r="28" spans="1:6" x14ac:dyDescent="0.25">
      <c r="A28">
        <v>-5.5192264280468191</v>
      </c>
      <c r="B28">
        <v>10.835010032599479</v>
      </c>
      <c r="C28">
        <v>-2.0183959279868597</v>
      </c>
      <c r="E28" s="75">
        <f t="shared" si="0"/>
        <v>26</v>
      </c>
      <c r="F28" s="93" cm="1">
        <f t="array" ref="F28">HSLtoRGB(E28,255,128)</f>
        <v>105727</v>
      </c>
    </row>
    <row r="29" spans="1:6" x14ac:dyDescent="0.25">
      <c r="A29">
        <v>-4.2730762128506354</v>
      </c>
      <c r="B29">
        <v>10.245195341059469</v>
      </c>
      <c r="C29">
        <v>-3.210648424512462</v>
      </c>
      <c r="E29" s="75">
        <f t="shared" si="0"/>
        <v>27</v>
      </c>
      <c r="F29" s="38" cm="1">
        <f t="array" ref="F29">HSLtoRGB(E29,255,128)</f>
        <v>107263</v>
      </c>
    </row>
    <row r="30" spans="1:6" x14ac:dyDescent="0.25">
      <c r="A30">
        <v>-3.3309769894743977</v>
      </c>
      <c r="B30">
        <v>9.6465895386216616</v>
      </c>
      <c r="C30">
        <v>-4.4753174163667317</v>
      </c>
      <c r="E30" s="75">
        <f t="shared" si="0"/>
        <v>28</v>
      </c>
      <c r="F30" s="94" cm="1">
        <f t="array" ref="F30">HSLtoRGB(E30,255,128)</f>
        <v>108799</v>
      </c>
    </row>
    <row r="31" spans="1:6" x14ac:dyDescent="0.25">
      <c r="A31">
        <v>-1.8252945969474432</v>
      </c>
      <c r="B31">
        <v>9.2396861046320904</v>
      </c>
      <c r="C31">
        <v>-4.8969459337636598</v>
      </c>
      <c r="E31" s="75">
        <f t="shared" si="0"/>
        <v>29</v>
      </c>
      <c r="F31" s="95" cm="1">
        <f t="array" ref="F31">HSLtoRGB(E31,255,128)</f>
        <v>110335</v>
      </c>
    </row>
    <row r="32" spans="1:6" x14ac:dyDescent="0.25">
      <c r="A32">
        <v>-0.45456843190439838</v>
      </c>
      <c r="B32">
        <v>9.0793362902902892</v>
      </c>
      <c r="C32">
        <v>-3.7346421867433466</v>
      </c>
      <c r="E32" s="75">
        <f t="shared" si="0"/>
        <v>30</v>
      </c>
      <c r="F32" s="11" cm="1">
        <f t="array" ref="F32">HSLtoRGB(E32,255,128)</f>
        <v>111871</v>
      </c>
    </row>
    <row r="33" spans="1:6" x14ac:dyDescent="0.25">
      <c r="A33">
        <v>0.1709922047534102</v>
      </c>
      <c r="B33">
        <v>8.9049336324656245</v>
      </c>
      <c r="C33">
        <v>-2.176932497998306</v>
      </c>
      <c r="E33" s="75">
        <f t="shared" si="0"/>
        <v>31</v>
      </c>
      <c r="F33" s="96" cm="1">
        <f t="array" ref="F33">HSLtoRGB(E33,255,128)</f>
        <v>113407</v>
      </c>
    </row>
    <row r="34" spans="1:6" x14ac:dyDescent="0.25">
      <c r="A34">
        <v>0.53941429298932086</v>
      </c>
      <c r="B34">
        <v>9.3860661678720625</v>
      </c>
      <c r="C34">
        <v>-0.57983450064189679</v>
      </c>
      <c r="E34" s="75">
        <f t="shared" si="0"/>
        <v>32</v>
      </c>
      <c r="F34" s="39" cm="1">
        <f t="array" ref="F34">HSLtoRGB(E34,255,128)</f>
        <v>114943</v>
      </c>
    </row>
    <row r="35" spans="1:6" x14ac:dyDescent="0.25">
      <c r="A35">
        <v>0.82655178655857686</v>
      </c>
      <c r="B35">
        <v>9.8465164905694884</v>
      </c>
      <c r="C35">
        <v>1.0414904746993394</v>
      </c>
      <c r="E35" s="75">
        <f t="shared" ref="E35:E66" si="1">+E34+1</f>
        <v>33</v>
      </c>
      <c r="F35" s="97" cm="1">
        <f t="array" ref="F35">HSLtoRGB(E35,255,128)</f>
        <v>116479</v>
      </c>
    </row>
    <row r="36" spans="1:6" x14ac:dyDescent="0.25">
      <c r="A36">
        <v>0.92909708144403846</v>
      </c>
      <c r="B36">
        <v>10.522581641070666</v>
      </c>
      <c r="C36">
        <v>2.8010577117844262</v>
      </c>
      <c r="E36" s="75">
        <f t="shared" si="1"/>
        <v>34</v>
      </c>
      <c r="F36" s="98" cm="1">
        <f t="array" ref="F36">HSLtoRGB(E36,255,128)</f>
        <v>118015</v>
      </c>
    </row>
    <row r="37" spans="1:6" x14ac:dyDescent="0.25">
      <c r="A37">
        <v>1.4836144793668082</v>
      </c>
      <c r="B37">
        <v>11.529039273593071</v>
      </c>
      <c r="C37">
        <v>4.3583178700117227</v>
      </c>
      <c r="E37" s="75">
        <f t="shared" si="1"/>
        <v>35</v>
      </c>
      <c r="F37" s="40" cm="1">
        <f t="array" ref="F37">HSLtoRGB(E37,255,128)</f>
        <v>119551</v>
      </c>
    </row>
    <row r="38" spans="1:6" x14ac:dyDescent="0.25">
      <c r="A38">
        <v>2.0762202995269332</v>
      </c>
      <c r="B38">
        <v>12.512804787953099</v>
      </c>
      <c r="C38">
        <v>5.2638126219482375</v>
      </c>
      <c r="E38" s="75">
        <f t="shared" si="1"/>
        <v>36</v>
      </c>
      <c r="F38" s="99" cm="1">
        <f t="array" ref="F38">HSLtoRGB(E38,255,128)</f>
        <v>121087</v>
      </c>
    </row>
    <row r="39" spans="1:6" x14ac:dyDescent="0.25">
      <c r="A39">
        <v>3.1928823095334913</v>
      </c>
      <c r="B39">
        <v>13.894632289072142</v>
      </c>
      <c r="C39">
        <v>5.8137038508185759</v>
      </c>
      <c r="E39" s="75">
        <f t="shared" si="1"/>
        <v>37</v>
      </c>
      <c r="F39" s="24" cm="1">
        <f t="array" ref="F39">HSLtoRGB(E39,255,128)</f>
        <v>122623</v>
      </c>
    </row>
    <row r="40" spans="1:6" x14ac:dyDescent="0.25">
      <c r="A40">
        <v>4.1301239889898849</v>
      </c>
      <c r="B40">
        <v>15.118725502887379</v>
      </c>
      <c r="C40">
        <v>5.7118730142111183</v>
      </c>
      <c r="E40" s="75">
        <f t="shared" si="1"/>
        <v>38</v>
      </c>
      <c r="F40" s="100" cm="1">
        <f t="array" ref="F40">HSLtoRGB(E40,255,128)</f>
        <v>124159</v>
      </c>
    </row>
    <row r="41" spans="1:6" x14ac:dyDescent="0.25">
      <c r="A41">
        <v>5.1302641507856457</v>
      </c>
      <c r="B41">
        <v>16.591803176715111</v>
      </c>
      <c r="C41">
        <v>5.4728205836905159</v>
      </c>
      <c r="E41" s="75">
        <f t="shared" si="1"/>
        <v>39</v>
      </c>
      <c r="F41" s="101" cm="1">
        <f t="array" ref="F41">HSLtoRGB(E41,255,128)</f>
        <v>125695</v>
      </c>
    </row>
    <row r="42" spans="1:6" x14ac:dyDescent="0.25">
      <c r="A42">
        <v>5.6304624548354107</v>
      </c>
      <c r="B42">
        <v>18.106094034564634</v>
      </c>
      <c r="C42">
        <v>5.7345418753898461</v>
      </c>
      <c r="E42" s="75">
        <f t="shared" si="1"/>
        <v>40</v>
      </c>
      <c r="F42" s="12" cm="1">
        <f t="array" ref="F42">HSLtoRGB(E42,255,128)</f>
        <v>127231</v>
      </c>
    </row>
    <row r="43" spans="1:6" x14ac:dyDescent="0.25">
      <c r="A43">
        <v>5.7475955444279858</v>
      </c>
      <c r="B43">
        <v>19.620980046952813</v>
      </c>
      <c r="C43">
        <v>5.7920435900940603</v>
      </c>
      <c r="E43" s="75">
        <f t="shared" si="1"/>
        <v>41</v>
      </c>
      <c r="F43" s="102" cm="1">
        <f t="array" ref="F43">HSLtoRGB(E43,255,128)</f>
        <v>128767</v>
      </c>
    </row>
    <row r="44" spans="1:6" x14ac:dyDescent="0.25">
      <c r="A44">
        <v>5.7093562342590998</v>
      </c>
      <c r="B44">
        <v>21.458080634465354</v>
      </c>
      <c r="C44">
        <v>5.7019222879467977</v>
      </c>
      <c r="E44" s="75">
        <f t="shared" si="1"/>
        <v>42</v>
      </c>
      <c r="F44" s="41" cm="1">
        <f t="array" ref="F44">HSLtoRGB(E44,255,128)</f>
        <v>130303</v>
      </c>
    </row>
    <row r="45" spans="1:6" x14ac:dyDescent="0.25">
      <c r="A45">
        <v>5.2143700538729094</v>
      </c>
      <c r="B45">
        <v>22.957149876132387</v>
      </c>
      <c r="C45">
        <v>5.9245118131912093</v>
      </c>
      <c r="E45" s="75">
        <f t="shared" si="1"/>
        <v>43</v>
      </c>
      <c r="F45" s="103" cm="1">
        <f t="array" ref="F45">HSLtoRGB(E45,255,128)</f>
        <v>131068</v>
      </c>
    </row>
    <row r="46" spans="1:6" x14ac:dyDescent="0.25">
      <c r="A46">
        <v>4.3442967990192649</v>
      </c>
      <c r="B46">
        <v>24.166587159584978</v>
      </c>
      <c r="C46">
        <v>6.4726928150939971</v>
      </c>
      <c r="E46" s="75">
        <f t="shared" si="1"/>
        <v>44</v>
      </c>
      <c r="F46" s="104" cm="1">
        <f t="array" ref="F46">HSLtoRGB(E46,255,128)</f>
        <v>131062</v>
      </c>
    </row>
    <row r="47" spans="1:6" x14ac:dyDescent="0.25">
      <c r="A47">
        <v>3.3547009683910884</v>
      </c>
      <c r="B47">
        <v>25.531005739592125</v>
      </c>
      <c r="C47">
        <v>6.6677696771558148</v>
      </c>
      <c r="E47" s="75">
        <f t="shared" si="1"/>
        <v>45</v>
      </c>
      <c r="F47" s="42" cm="1">
        <f t="array" ref="F47">HSLtoRGB(E47,255,128)</f>
        <v>131056</v>
      </c>
    </row>
    <row r="48" spans="1:6" x14ac:dyDescent="0.25">
      <c r="A48">
        <v>2.2637833102919114</v>
      </c>
      <c r="B48">
        <v>26.896968144997537</v>
      </c>
      <c r="C48">
        <v>6.6812168597488508</v>
      </c>
      <c r="E48" s="75">
        <f t="shared" si="1"/>
        <v>46</v>
      </c>
      <c r="F48" s="105" cm="1">
        <f t="array" ref="F48">HSLtoRGB(E48,255,128)</f>
        <v>131050</v>
      </c>
    </row>
    <row r="49" spans="1:6" x14ac:dyDescent="0.25">
      <c r="A49">
        <v>2.2338041380149507</v>
      </c>
      <c r="B49">
        <v>28.60804695566878</v>
      </c>
      <c r="C49">
        <v>6.3306115862425463</v>
      </c>
      <c r="E49" s="75">
        <f t="shared" si="1"/>
        <v>47</v>
      </c>
      <c r="F49" s="43" cm="1">
        <f t="array" ref="F49">HSLtoRGB(E49,255,128)</f>
        <v>131044</v>
      </c>
    </row>
    <row r="50" spans="1:6" x14ac:dyDescent="0.25">
      <c r="A50">
        <v>2.7863130547477462</v>
      </c>
      <c r="B50">
        <v>30.335627304604092</v>
      </c>
      <c r="C50">
        <v>5.774286720112336</v>
      </c>
      <c r="E50" s="75">
        <f t="shared" si="1"/>
        <v>48</v>
      </c>
      <c r="F50" s="106" cm="1">
        <f t="array" ref="F50">HSLtoRGB(E50,255,128)</f>
        <v>131038</v>
      </c>
    </row>
    <row r="51" spans="1:6" x14ac:dyDescent="0.25">
      <c r="A51">
        <v>3.1687074378907241</v>
      </c>
      <c r="B51">
        <v>31.954896444327666</v>
      </c>
      <c r="C51">
        <v>5.4866460609943548</v>
      </c>
      <c r="E51" s="75">
        <f t="shared" si="1"/>
        <v>49</v>
      </c>
      <c r="F51" s="107" cm="1">
        <f t="array" ref="F51">HSLtoRGB(E51,255,128)</f>
        <v>131032</v>
      </c>
    </row>
    <row r="52" spans="1:6" x14ac:dyDescent="0.25">
      <c r="A52">
        <v>3.2427634433122039</v>
      </c>
      <c r="B52">
        <v>33.413804697301941</v>
      </c>
      <c r="C52">
        <v>4.9556969147180219</v>
      </c>
      <c r="E52" s="75">
        <f t="shared" si="1"/>
        <v>50</v>
      </c>
      <c r="F52" s="13" cm="1">
        <f t="array" ref="F52">HSLtoRGB(E52,255,128)</f>
        <v>131026</v>
      </c>
    </row>
    <row r="53" spans="1:6" x14ac:dyDescent="0.25">
      <c r="A53">
        <v>3.1638435429200387</v>
      </c>
      <c r="B53">
        <v>34.905240858786641</v>
      </c>
      <c r="C53">
        <v>4.1448545908956724</v>
      </c>
      <c r="E53" s="75">
        <f t="shared" si="1"/>
        <v>51</v>
      </c>
      <c r="F53" s="108" cm="1">
        <f t="array" ref="F53">HSLtoRGB(E53,255,128)</f>
        <v>131020</v>
      </c>
    </row>
    <row r="54" spans="1:6" x14ac:dyDescent="0.25">
      <c r="A54">
        <v>2.9794759071077808</v>
      </c>
      <c r="B54">
        <v>36.100577679076217</v>
      </c>
      <c r="C54">
        <v>3.4515331241116036</v>
      </c>
      <c r="E54" s="75">
        <f t="shared" si="1"/>
        <v>52</v>
      </c>
      <c r="F54" s="44" cm="1">
        <f t="array" ref="F54">HSLtoRGB(E54,255,128)</f>
        <v>131014</v>
      </c>
    </row>
    <row r="55" spans="1:6" x14ac:dyDescent="0.25">
      <c r="A55">
        <v>2.9108935527259137</v>
      </c>
      <c r="B55">
        <v>37.373961642577079</v>
      </c>
      <c r="C55">
        <v>2.5623033855507775</v>
      </c>
      <c r="E55" s="75">
        <f t="shared" si="1"/>
        <v>53</v>
      </c>
      <c r="F55" s="109" cm="1">
        <f t="array" ref="F55">HSLtoRGB(E55,255,128)</f>
        <v>131008</v>
      </c>
    </row>
    <row r="56" spans="1:6" x14ac:dyDescent="0.25">
      <c r="A56">
        <v>2.3577832579301758</v>
      </c>
      <c r="B56">
        <v>38.736826220635237</v>
      </c>
      <c r="C56">
        <v>2.1284209650261889</v>
      </c>
      <c r="E56" s="75">
        <f t="shared" si="1"/>
        <v>54</v>
      </c>
      <c r="F56" s="110" cm="1">
        <f t="array" ref="F56">HSLtoRGB(E56,255,128)</f>
        <v>131002</v>
      </c>
    </row>
    <row r="57" spans="1:6" x14ac:dyDescent="0.25">
      <c r="A57">
        <v>1.4087219707378569</v>
      </c>
      <c r="B57">
        <v>39.994920436036594</v>
      </c>
      <c r="C57">
        <v>1.4948496686783461</v>
      </c>
      <c r="E57" s="75">
        <f t="shared" si="1"/>
        <v>55</v>
      </c>
      <c r="F57" s="25" cm="1">
        <f t="array" ref="F57">HSLtoRGB(E57,255,128)</f>
        <v>130996</v>
      </c>
    </row>
    <row r="58" spans="1:6" x14ac:dyDescent="0.25">
      <c r="A58">
        <v>0.46729039956275781</v>
      </c>
      <c r="B58">
        <v>41.027689811370138</v>
      </c>
      <c r="C58">
        <v>0.91151881354700459</v>
      </c>
      <c r="E58" s="75">
        <f t="shared" si="1"/>
        <v>56</v>
      </c>
      <c r="F58" s="111" cm="1">
        <f t="array" ref="F58">HSLtoRGB(E58,255,128)</f>
        <v>130990</v>
      </c>
    </row>
    <row r="59" spans="1:6" x14ac:dyDescent="0.25">
      <c r="A59">
        <v>-0.68111255846202678</v>
      </c>
      <c r="B59">
        <v>42.06599667672797</v>
      </c>
      <c r="C59">
        <v>0.3641175821759442</v>
      </c>
      <c r="E59" s="75">
        <f t="shared" si="1"/>
        <v>57</v>
      </c>
      <c r="F59" s="45" cm="1">
        <f t="array" ref="F59">HSLtoRGB(E59,255,128)</f>
        <v>130984</v>
      </c>
    </row>
    <row r="60" spans="1:6" x14ac:dyDescent="0.25">
      <c r="A60">
        <v>-2.0642523326588802</v>
      </c>
      <c r="B60">
        <v>42.7255361266688</v>
      </c>
      <c r="C60">
        <v>-2.3809042592496998E-2</v>
      </c>
      <c r="E60" s="75">
        <f t="shared" si="1"/>
        <v>58</v>
      </c>
      <c r="F60" s="112" cm="1">
        <f t="array" ref="F60">HSLtoRGB(E60,255,128)</f>
        <v>130978</v>
      </c>
    </row>
    <row r="61" spans="1:6" x14ac:dyDescent="0.25">
      <c r="A61">
        <v>-3.8037786040570802</v>
      </c>
      <c r="B61">
        <v>43.130292339882764</v>
      </c>
      <c r="C61">
        <v>-0.28634505624622381</v>
      </c>
      <c r="E61" s="75">
        <f t="shared" si="1"/>
        <v>59</v>
      </c>
      <c r="F61" s="113" cm="1">
        <f t="array" ref="F61">HSLtoRGB(E61,255,128)</f>
        <v>130972</v>
      </c>
    </row>
    <row r="62" spans="1:6" x14ac:dyDescent="0.25">
      <c r="A62" cm="1">
        <f t="array" ref="A62:C180">_xlfn.VSTACK(GraphData_Arch)</f>
        <v>-3.7838298576719716</v>
      </c>
      <c r="B62">
        <v>43.21416591788936</v>
      </c>
      <c r="C62">
        <v>0.46405775722723652</v>
      </c>
      <c r="E62" s="75">
        <f t="shared" si="1"/>
        <v>60</v>
      </c>
      <c r="F62" s="14" cm="1">
        <f t="array" ref="F62">HSLtoRGB(E62,255,128)</f>
        <v>130966</v>
      </c>
    </row>
    <row r="63" spans="1:6" x14ac:dyDescent="0.25">
      <c r="A63">
        <v>-3.8131443894951689</v>
      </c>
      <c r="B63">
        <v>43.198985505390119</v>
      </c>
      <c r="C63">
        <v>1.2383259323481755</v>
      </c>
      <c r="E63" s="75">
        <f t="shared" si="1"/>
        <v>61</v>
      </c>
      <c r="F63" s="114" cm="1">
        <f t="array" ref="F63">HSLtoRGB(E63,255,128)</f>
        <v>130960</v>
      </c>
    </row>
    <row r="64" spans="1:6" x14ac:dyDescent="0.25">
      <c r="A64">
        <v>-3.8607860285616491</v>
      </c>
      <c r="B64">
        <v>43.097711390262262</v>
      </c>
      <c r="C64">
        <v>2.0023783915429614</v>
      </c>
      <c r="E64" s="75">
        <f t="shared" si="1"/>
        <v>62</v>
      </c>
      <c r="F64" s="26" cm="1">
        <f t="array" ref="F64">HSLtoRGB(E64,255,128)</f>
        <v>130954</v>
      </c>
    </row>
    <row r="65" spans="1:6" x14ac:dyDescent="0.25">
      <c r="A65">
        <v>-3.9188112700790674</v>
      </c>
      <c r="B65">
        <v>42.955275772599236</v>
      </c>
      <c r="C65">
        <v>2.7626295603015825</v>
      </c>
      <c r="E65" s="75">
        <f t="shared" si="1"/>
        <v>63</v>
      </c>
      <c r="F65" s="115" cm="1">
        <f t="array" ref="F65">HSLtoRGB(E65,255,128)</f>
        <v>130948</v>
      </c>
    </row>
    <row r="66" spans="1:6" x14ac:dyDescent="0.25">
      <c r="A66">
        <v>-3.984840869706582</v>
      </c>
      <c r="B66">
        <v>42.795313877304835</v>
      </c>
      <c r="C66">
        <v>3.5163084260374329</v>
      </c>
      <c r="E66" s="75">
        <f t="shared" si="1"/>
        <v>64</v>
      </c>
      <c r="F66" s="116" cm="1">
        <f t="array" ref="F66">HSLtoRGB(E66,255,128)</f>
        <v>130943</v>
      </c>
    </row>
    <row r="67" spans="1:6" x14ac:dyDescent="0.25">
      <c r="A67">
        <v>-4.0432970496456226</v>
      </c>
      <c r="B67">
        <v>42.599627687508239</v>
      </c>
      <c r="C67">
        <v>4.2569094285887017</v>
      </c>
      <c r="E67" s="75">
        <f t="shared" ref="E67:E98" si="2">+E66+1</f>
        <v>65</v>
      </c>
      <c r="F67" s="46" cm="1">
        <f t="array" ref="F67">HSLtoRGB(E67,255,128)</f>
        <v>130937</v>
      </c>
    </row>
    <row r="68" spans="1:6" x14ac:dyDescent="0.25">
      <c r="A68">
        <v>-4.065907289894918</v>
      </c>
      <c r="B68">
        <v>42.490064078706716</v>
      </c>
      <c r="C68">
        <v>5.0097597941938918</v>
      </c>
      <c r="E68" s="75">
        <f t="shared" si="2"/>
        <v>66</v>
      </c>
      <c r="F68" s="117" cm="1">
        <f t="array" ref="F68">HSLtoRGB(E68,255,128)</f>
        <v>130931</v>
      </c>
    </row>
    <row r="69" spans="1:6" x14ac:dyDescent="0.25">
      <c r="A69">
        <v>-4.0233336052813238</v>
      </c>
      <c r="B69">
        <v>42.351318713554846</v>
      </c>
      <c r="C69">
        <v>5.760751110056102</v>
      </c>
      <c r="E69" s="75">
        <f t="shared" si="2"/>
        <v>67</v>
      </c>
      <c r="F69" s="47" cm="1">
        <f t="array" ref="F69">HSLtoRGB(E69,255,128)</f>
        <v>130925</v>
      </c>
    </row>
    <row r="70" spans="1:6" x14ac:dyDescent="0.25">
      <c r="A70">
        <v>-3.954967524428544</v>
      </c>
      <c r="B70">
        <v>42.359303303383356</v>
      </c>
      <c r="C70">
        <v>6.5317115610237879</v>
      </c>
      <c r="E70" s="75">
        <f t="shared" si="2"/>
        <v>68</v>
      </c>
      <c r="F70" s="118" cm="1">
        <f t="array" ref="F70">HSLtoRGB(E70,255,128)</f>
        <v>130919</v>
      </c>
    </row>
    <row r="71" spans="1:6" x14ac:dyDescent="0.25">
      <c r="A71">
        <v>-3.950256108551446</v>
      </c>
      <c r="B71">
        <v>42.159419338700758</v>
      </c>
      <c r="C71">
        <v>7.2419962744591588</v>
      </c>
      <c r="E71" s="75">
        <f t="shared" si="2"/>
        <v>69</v>
      </c>
      <c r="F71" s="119" cm="1">
        <f t="array" ref="F71">HSLtoRGB(E71,255,128)</f>
        <v>130913</v>
      </c>
    </row>
    <row r="72" spans="1:6" x14ac:dyDescent="0.25">
      <c r="A72">
        <v>-3.8233531323330587</v>
      </c>
      <c r="B72">
        <v>42.052442532599756</v>
      </c>
      <c r="C72">
        <v>7.9751118795383844</v>
      </c>
      <c r="E72" s="75">
        <f t="shared" si="2"/>
        <v>70</v>
      </c>
      <c r="F72" s="15" cm="1">
        <f t="array" ref="F72">HSLtoRGB(E72,255,128)</f>
        <v>130907</v>
      </c>
    </row>
    <row r="73" spans="1:6" x14ac:dyDescent="0.25">
      <c r="A73">
        <v>-3.6497655924563128</v>
      </c>
      <c r="B73">
        <v>42.212045737856201</v>
      </c>
      <c r="C73">
        <v>8.7127470155278743</v>
      </c>
      <c r="E73" s="75">
        <f t="shared" si="2"/>
        <v>71</v>
      </c>
      <c r="F73" s="120" cm="1">
        <f t="array" ref="F73">HSLtoRGB(E73,255,128)</f>
        <v>130901</v>
      </c>
    </row>
    <row r="74" spans="1:6" x14ac:dyDescent="0.25">
      <c r="A74">
        <v>-3.4461445173873235</v>
      </c>
      <c r="B74">
        <v>42.293204275714814</v>
      </c>
      <c r="C74">
        <v>9.4577444588077899</v>
      </c>
      <c r="E74" s="75">
        <f t="shared" si="2"/>
        <v>72</v>
      </c>
      <c r="F74" s="48" cm="1">
        <f t="array" ref="F74">HSLtoRGB(E74,255,128)</f>
        <v>130895</v>
      </c>
    </row>
    <row r="75" spans="1:6" x14ac:dyDescent="0.25">
      <c r="A75">
        <v>-3.2849174790861473</v>
      </c>
      <c r="B75">
        <v>42.285145028437555</v>
      </c>
      <c r="C75">
        <v>10.216994920510437</v>
      </c>
      <c r="E75" s="75">
        <f t="shared" si="2"/>
        <v>73</v>
      </c>
      <c r="F75" s="121" cm="1">
        <f t="array" ref="F75">HSLtoRGB(E75,255,128)</f>
        <v>130889</v>
      </c>
    </row>
    <row r="76" spans="1:6" x14ac:dyDescent="0.25">
      <c r="A76">
        <v>-3.2656997826731424</v>
      </c>
      <c r="B76">
        <v>42.1407546058226</v>
      </c>
      <c r="C76">
        <v>10.972750496085112</v>
      </c>
      <c r="E76" s="75">
        <f t="shared" si="2"/>
        <v>74</v>
      </c>
      <c r="F76" s="122" cm="1">
        <f t="array" ref="F76">HSLtoRGB(E76,255,128)</f>
        <v>130883</v>
      </c>
    </row>
    <row r="77" spans="1:6" x14ac:dyDescent="0.25">
      <c r="A77">
        <v>-3.5179880430728394</v>
      </c>
      <c r="B77">
        <v>41.70626945239129</v>
      </c>
      <c r="C77">
        <v>11.539361853505397</v>
      </c>
      <c r="E77" s="75">
        <f t="shared" si="2"/>
        <v>75</v>
      </c>
      <c r="F77" s="49" cm="1">
        <f t="array" ref="F77">HSLtoRGB(E77,255,128)</f>
        <v>130877</v>
      </c>
    </row>
    <row r="78" spans="1:6" x14ac:dyDescent="0.25">
      <c r="A78">
        <v>-3.8771037630609366</v>
      </c>
      <c r="B78">
        <v>41.043776593286267</v>
      </c>
      <c r="C78">
        <v>11.696668914516664</v>
      </c>
      <c r="E78" s="75">
        <f t="shared" si="2"/>
        <v>76</v>
      </c>
      <c r="F78" s="123" cm="1">
        <f t="array" ref="F78">HSLtoRGB(E78,255,128)</f>
        <v>130871</v>
      </c>
    </row>
    <row r="79" spans="1:6" x14ac:dyDescent="0.25">
      <c r="A79">
        <v>-4.1962096457683877</v>
      </c>
      <c r="B79">
        <v>40.342267757670982</v>
      </c>
      <c r="C79">
        <v>11.788382676882955</v>
      </c>
      <c r="E79" s="75">
        <f t="shared" si="2"/>
        <v>77</v>
      </c>
      <c r="F79" s="50" cm="1">
        <f t="array" ref="F79">HSLtoRGB(E79,255,128)</f>
        <v>130865</v>
      </c>
    </row>
    <row r="80" spans="1:6" x14ac:dyDescent="0.25">
      <c r="A80">
        <v>-4.5051261072132762</v>
      </c>
      <c r="B80">
        <v>39.757778609798351</v>
      </c>
      <c r="C80">
        <v>12.146503985500914</v>
      </c>
      <c r="E80" s="75">
        <f t="shared" si="2"/>
        <v>78</v>
      </c>
      <c r="F80" s="124" cm="1">
        <f t="array" ref="F80">HSLtoRGB(E80,255,128)</f>
        <v>130859</v>
      </c>
    </row>
    <row r="81" spans="1:6" x14ac:dyDescent="0.25">
      <c r="A81">
        <v>-4.4906430711018501</v>
      </c>
      <c r="B81">
        <v>39.668317640133097</v>
      </c>
      <c r="C81">
        <v>12.914137580081288</v>
      </c>
      <c r="E81" s="75">
        <f t="shared" si="2"/>
        <v>79</v>
      </c>
      <c r="F81" s="125" cm="1">
        <f t="array" ref="F81">HSLtoRGB(E81,255,128)</f>
        <v>130853</v>
      </c>
    </row>
    <row r="82" spans="1:6" x14ac:dyDescent="0.25">
      <c r="A82">
        <v>-4.4970181253158028</v>
      </c>
      <c r="B82">
        <v>39.521213926902647</v>
      </c>
      <c r="C82">
        <v>13.669010295363153</v>
      </c>
      <c r="E82" s="75">
        <f t="shared" si="2"/>
        <v>80</v>
      </c>
      <c r="F82" s="16" cm="1">
        <f t="array" ref="F82">HSLtoRGB(E82,255,128)</f>
        <v>130847</v>
      </c>
    </row>
    <row r="83" spans="1:6" x14ac:dyDescent="0.25">
      <c r="A83">
        <v>-4.5589589277907203</v>
      </c>
      <c r="B83">
        <v>39.03222617013197</v>
      </c>
      <c r="C83">
        <v>14.254679946403305</v>
      </c>
      <c r="E83" s="75">
        <f t="shared" si="2"/>
        <v>81</v>
      </c>
      <c r="F83" s="126" cm="1">
        <f t="array" ref="F83">HSLtoRGB(E83,255,128)</f>
        <v>130841</v>
      </c>
    </row>
    <row r="84" spans="1:6" x14ac:dyDescent="0.25">
      <c r="A84">
        <v>-4.5434320722488533</v>
      </c>
      <c r="B84">
        <v>38.760323767430812</v>
      </c>
      <c r="C84">
        <v>14.974123889630617</v>
      </c>
      <c r="E84" s="75">
        <f t="shared" si="2"/>
        <v>82</v>
      </c>
      <c r="F84" s="51" cm="1">
        <f t="array" ref="F84">HSLtoRGB(E84,255,128)</f>
        <v>130835</v>
      </c>
    </row>
    <row r="85" spans="1:6" x14ac:dyDescent="0.25">
      <c r="A85">
        <v>-4.6062746151618601</v>
      </c>
      <c r="B85">
        <v>38.430260735491615</v>
      </c>
      <c r="C85">
        <v>15.669907904564305</v>
      </c>
      <c r="E85" s="75">
        <f t="shared" si="2"/>
        <v>83</v>
      </c>
      <c r="F85" s="127" cm="1">
        <f t="array" ref="F85">HSLtoRGB(E85,255,128)</f>
        <v>130829</v>
      </c>
    </row>
    <row r="86" spans="1:6" x14ac:dyDescent="0.25">
      <c r="A86">
        <v>-4.6998745641485895</v>
      </c>
      <c r="B86">
        <v>38.04964056454962</v>
      </c>
      <c r="C86">
        <v>16.334304863878202</v>
      </c>
      <c r="E86" s="75">
        <f t="shared" si="2"/>
        <v>84</v>
      </c>
      <c r="F86" s="128" cm="1">
        <f t="array" ref="F86">HSLtoRGB(E86,255,128)</f>
        <v>130823</v>
      </c>
    </row>
    <row r="87" spans="1:6" x14ac:dyDescent="0.25">
      <c r="A87">
        <v>-4.7222737547462943</v>
      </c>
      <c r="B87">
        <v>37.784235262202948</v>
      </c>
      <c r="C87">
        <v>17.061308667252284</v>
      </c>
      <c r="E87" s="75">
        <f t="shared" si="2"/>
        <v>85</v>
      </c>
      <c r="F87" s="52" cm="1">
        <f t="array" ref="F87">HSLtoRGB(E87,255,128)</f>
        <v>130817</v>
      </c>
    </row>
    <row r="88" spans="1:6" x14ac:dyDescent="0.25">
      <c r="A88">
        <v>-4.7303815648589707</v>
      </c>
      <c r="B88">
        <v>37.544400360695185</v>
      </c>
      <c r="C88">
        <v>17.798645612345101</v>
      </c>
      <c r="E88" s="75">
        <f t="shared" si="2"/>
        <v>86</v>
      </c>
      <c r="F88" s="129" cm="1">
        <f t="array" ref="F88">HSLtoRGB(E88,255,128)</f>
        <v>524033</v>
      </c>
    </row>
    <row r="89" spans="1:6" x14ac:dyDescent="0.25">
      <c r="A89">
        <v>-4.8020920119080248</v>
      </c>
      <c r="B89">
        <v>37.147636973177129</v>
      </c>
      <c r="C89">
        <v>18.462487983004216</v>
      </c>
      <c r="E89" s="75">
        <f t="shared" si="2"/>
        <v>87</v>
      </c>
      <c r="F89" s="53" cm="1">
        <f t="array" ref="F89">HSLtoRGB(E89,255,128)</f>
        <v>917249</v>
      </c>
    </row>
    <row r="90" spans="1:6" x14ac:dyDescent="0.25">
      <c r="A90">
        <v>-4.8102518205416853</v>
      </c>
      <c r="B90">
        <v>36.92267882333708</v>
      </c>
      <c r="C90">
        <v>19.204428205005705</v>
      </c>
      <c r="E90" s="75">
        <f t="shared" si="2"/>
        <v>88</v>
      </c>
      <c r="F90" s="130" cm="1">
        <f t="array" ref="F90">HSLtoRGB(E90,255,128)</f>
        <v>1310465</v>
      </c>
    </row>
    <row r="91" spans="1:6" x14ac:dyDescent="0.25">
      <c r="A91">
        <v>-4.8267938702636313</v>
      </c>
      <c r="B91">
        <v>36.677575928260687</v>
      </c>
      <c r="C91">
        <v>19.939402611703152</v>
      </c>
      <c r="E91" s="75">
        <f t="shared" si="2"/>
        <v>89</v>
      </c>
      <c r="F91" s="131" cm="1">
        <f t="array" ref="F91">HSLtoRGB(E91,255,128)</f>
        <v>1703681</v>
      </c>
    </row>
    <row r="92" spans="1:6" x14ac:dyDescent="0.25">
      <c r="A92">
        <v>-4.8497132283936359</v>
      </c>
      <c r="B92">
        <v>36.432488767721381</v>
      </c>
      <c r="C92">
        <v>20.671427755701853</v>
      </c>
      <c r="E92" s="75">
        <f t="shared" si="2"/>
        <v>90</v>
      </c>
      <c r="F92" s="17" cm="1">
        <f t="array" ref="F92">HSLtoRGB(E92,255,128)</f>
        <v>2096897</v>
      </c>
    </row>
    <row r="93" spans="1:6" x14ac:dyDescent="0.25">
      <c r="A93">
        <v>-5.0467239302723588</v>
      </c>
      <c r="B93">
        <v>35.913832334687228</v>
      </c>
      <c r="C93">
        <v>21.201062291768604</v>
      </c>
      <c r="E93" s="75">
        <f t="shared" si="2"/>
        <v>91</v>
      </c>
      <c r="F93" s="132" cm="1">
        <f t="array" ref="F93">HSLtoRGB(E93,255,128)</f>
        <v>2490113</v>
      </c>
    </row>
    <row r="94" spans="1:6" x14ac:dyDescent="0.25">
      <c r="A94">
        <v>-5.1203544869356357</v>
      </c>
      <c r="B94">
        <v>35.559527106398022</v>
      </c>
      <c r="C94">
        <v>21.876834397102073</v>
      </c>
      <c r="E94" s="75">
        <f t="shared" si="2"/>
        <v>92</v>
      </c>
      <c r="F94" s="27" cm="1">
        <f t="array" ref="F94">HSLtoRGB(E94,255,128)</f>
        <v>2883329</v>
      </c>
    </row>
    <row r="95" spans="1:6" x14ac:dyDescent="0.25">
      <c r="A95">
        <v>-5.1459233859640356</v>
      </c>
      <c r="B95">
        <v>35.257060010221601</v>
      </c>
      <c r="C95">
        <v>22.591225555805668</v>
      </c>
      <c r="E95" s="75">
        <f t="shared" si="2"/>
        <v>93</v>
      </c>
      <c r="F95" s="133" cm="1">
        <f t="array" ref="F95">HSLtoRGB(E95,255,128)</f>
        <v>3276545</v>
      </c>
    </row>
    <row r="96" spans="1:6" x14ac:dyDescent="0.25">
      <c r="A96">
        <v>-5.2146642956777924</v>
      </c>
      <c r="B96">
        <v>34.898960745077325</v>
      </c>
      <c r="C96">
        <v>23.2765562136989</v>
      </c>
      <c r="E96" s="75">
        <f t="shared" si="2"/>
        <v>94</v>
      </c>
      <c r="F96" s="134" cm="1">
        <f t="array" ref="F96">HSLtoRGB(E96,255,128)</f>
        <v>3669761</v>
      </c>
    </row>
    <row r="97" spans="1:6" x14ac:dyDescent="0.25">
      <c r="A97">
        <v>-5.2130888285899122</v>
      </c>
      <c r="B97">
        <v>34.583929492685058</v>
      </c>
      <c r="C97">
        <v>23.986575784782481</v>
      </c>
      <c r="E97" s="75">
        <f t="shared" si="2"/>
        <v>95</v>
      </c>
      <c r="F97" s="54" cm="1">
        <f t="array" ref="F97">HSLtoRGB(E97,255,128)</f>
        <v>4062977</v>
      </c>
    </row>
    <row r="98" spans="1:6" x14ac:dyDescent="0.25">
      <c r="A98">
        <v>-5.2741648427603014</v>
      </c>
      <c r="B98">
        <v>34.164964447730867</v>
      </c>
      <c r="C98">
        <v>24.631818081052621</v>
      </c>
      <c r="E98" s="75">
        <f t="shared" si="2"/>
        <v>96</v>
      </c>
      <c r="F98" s="135" cm="1">
        <f t="array" ref="F98">HSLtoRGB(E98,255,128)</f>
        <v>4456193</v>
      </c>
    </row>
    <row r="99" spans="1:6" x14ac:dyDescent="0.25">
      <c r="A99">
        <v>-5.3181135022530484</v>
      </c>
      <c r="B99">
        <v>33.768774465150535</v>
      </c>
      <c r="C99">
        <v>25.295330317473656</v>
      </c>
      <c r="E99" s="75">
        <f t="shared" ref="E99:E130" si="3">+E98+1</f>
        <v>97</v>
      </c>
      <c r="F99" s="55" cm="1">
        <f t="array" ref="F99">HSLtoRGB(E99,255,128)</f>
        <v>4849409</v>
      </c>
    </row>
    <row r="100" spans="1:6" x14ac:dyDescent="0.25">
      <c r="A100">
        <v>-5.3457050919740539</v>
      </c>
      <c r="B100">
        <v>33.391627717479423</v>
      </c>
      <c r="C100">
        <v>25.972200736383797</v>
      </c>
      <c r="E100" s="75">
        <f t="shared" si="3"/>
        <v>98</v>
      </c>
      <c r="F100" s="136" cm="1">
        <f t="array" ref="F100">HSLtoRGB(E100,255,128)</f>
        <v>5242625</v>
      </c>
    </row>
    <row r="101" spans="1:6" x14ac:dyDescent="0.25">
      <c r="A101">
        <v>-5.4198006421718947</v>
      </c>
      <c r="B101">
        <v>32.948648042509916</v>
      </c>
      <c r="C101">
        <v>26.605783957972243</v>
      </c>
      <c r="E101" s="75">
        <f t="shared" si="3"/>
        <v>99</v>
      </c>
      <c r="F101" s="137" cm="1">
        <f t="array" ref="F101">HSLtoRGB(E101,255,128)</f>
        <v>5635841</v>
      </c>
    </row>
    <row r="102" spans="1:6" x14ac:dyDescent="0.25">
      <c r="A102">
        <v>-5.4735906878860536</v>
      </c>
      <c r="B102">
        <v>32.53007383407936</v>
      </c>
      <c r="C102">
        <v>27.258429402232562</v>
      </c>
      <c r="E102" s="75">
        <f t="shared" si="3"/>
        <v>100</v>
      </c>
      <c r="F102" s="18" cm="1">
        <f t="array" ref="F102">HSLtoRGB(E102,255,128)</f>
        <v>6029057</v>
      </c>
    </row>
    <row r="103" spans="1:6" x14ac:dyDescent="0.25">
      <c r="A103">
        <v>-5.5325448429423867</v>
      </c>
      <c r="B103">
        <v>32.108638187819707</v>
      </c>
      <c r="C103">
        <v>27.908508649874477</v>
      </c>
      <c r="E103" s="75">
        <f t="shared" si="3"/>
        <v>101</v>
      </c>
      <c r="F103" s="138" cm="1">
        <f t="array" ref="F103">HSLtoRGB(E103,255,128)</f>
        <v>6422273</v>
      </c>
    </row>
    <row r="104" spans="1:6" x14ac:dyDescent="0.25">
      <c r="A104">
        <v>-5.5927440194246358</v>
      </c>
      <c r="B104">
        <v>31.687409517155182</v>
      </c>
      <c r="C104">
        <v>28.55828522335004</v>
      </c>
      <c r="E104" s="75">
        <f t="shared" si="3"/>
        <v>102</v>
      </c>
      <c r="F104" s="56" cm="1">
        <f t="array" ref="F104">HSLtoRGB(E104,255,128)</f>
        <v>6815489</v>
      </c>
    </row>
    <row r="105" spans="1:6" x14ac:dyDescent="0.25">
      <c r="A105">
        <v>-5.6641568434297769</v>
      </c>
      <c r="B105">
        <v>31.248073261934667</v>
      </c>
      <c r="C105">
        <v>29.193870839981329</v>
      </c>
      <c r="E105" s="75">
        <f t="shared" si="3"/>
        <v>103</v>
      </c>
      <c r="F105" s="139" cm="1">
        <f t="array" ref="F105">HSLtoRGB(E105,255,128)</f>
        <v>7208705</v>
      </c>
    </row>
    <row r="106" spans="1:6" x14ac:dyDescent="0.25">
      <c r="A106">
        <v>-5.7421790179141903</v>
      </c>
      <c r="B106">
        <v>30.798751720067351</v>
      </c>
      <c r="C106">
        <v>29.823297273914132</v>
      </c>
      <c r="E106" s="75">
        <f t="shared" si="3"/>
        <v>104</v>
      </c>
      <c r="F106" s="140" cm="1">
        <f t="array" ref="F106">HSLtoRGB(E106,255,128)</f>
        <v>7601921</v>
      </c>
    </row>
    <row r="107" spans="1:6" x14ac:dyDescent="0.25">
      <c r="A107">
        <v>-5.7757422567665415</v>
      </c>
      <c r="B107">
        <v>30.449247801523725</v>
      </c>
      <c r="C107">
        <v>30.512990696707011</v>
      </c>
      <c r="E107" s="75">
        <f t="shared" si="3"/>
        <v>105</v>
      </c>
      <c r="F107" s="28" cm="1">
        <f t="array" ref="F107">HSLtoRGB(E107,255,128)</f>
        <v>7995137</v>
      </c>
    </row>
    <row r="108" spans="1:6" x14ac:dyDescent="0.25">
      <c r="A108">
        <v>-5.8411205688658656</v>
      </c>
      <c r="B108">
        <v>30.034365175201721</v>
      </c>
      <c r="C108">
        <v>31.162703957516307</v>
      </c>
      <c r="E108" s="75">
        <f t="shared" si="3"/>
        <v>106</v>
      </c>
      <c r="F108" s="141" cm="1">
        <f t="array" ref="F108">HSLtoRGB(E108,255,128)</f>
        <v>8388353</v>
      </c>
    </row>
    <row r="109" spans="1:6" x14ac:dyDescent="0.25">
      <c r="A109">
        <v>-5.9738103098756348</v>
      </c>
      <c r="B109">
        <v>29.468045277998428</v>
      </c>
      <c r="C109">
        <v>31.676345986702412</v>
      </c>
      <c r="E109" s="75">
        <f t="shared" si="3"/>
        <v>107</v>
      </c>
      <c r="F109" s="57" cm="1">
        <f t="array" ref="F109">HSLtoRGB(E109,255,128)</f>
        <v>8716033</v>
      </c>
    </row>
    <row r="110" spans="1:6" x14ac:dyDescent="0.25">
      <c r="A110">
        <v>-6.010756249765997</v>
      </c>
      <c r="B110">
        <v>28.92437516254865</v>
      </c>
      <c r="C110">
        <v>32.226251494694381</v>
      </c>
      <c r="E110" s="75">
        <f t="shared" si="3"/>
        <v>108</v>
      </c>
      <c r="F110" s="142" cm="1">
        <f t="array" ref="F110">HSLtoRGB(E110,255,128)</f>
        <v>9109249</v>
      </c>
    </row>
    <row r="111" spans="1:6" x14ac:dyDescent="0.25">
      <c r="A111">
        <v>-5.9947201110747663</v>
      </c>
      <c r="B111">
        <v>28.398837549045286</v>
      </c>
      <c r="C111">
        <v>32.797553259187204</v>
      </c>
      <c r="E111" s="75">
        <f t="shared" si="3"/>
        <v>109</v>
      </c>
      <c r="F111" s="143" cm="1">
        <f t="array" ref="F111">HSLtoRGB(E111,255,128)</f>
        <v>9502465</v>
      </c>
    </row>
    <row r="112" spans="1:6" x14ac:dyDescent="0.25">
      <c r="A112">
        <v>-5.9770611031010308</v>
      </c>
      <c r="B112">
        <v>27.860280082950108</v>
      </c>
      <c r="C112">
        <v>33.357480316598682</v>
      </c>
      <c r="E112" s="75">
        <f t="shared" si="3"/>
        <v>110</v>
      </c>
      <c r="F112" s="19" cm="1">
        <f t="array" ref="F112">HSLtoRGB(E112,255,128)</f>
        <v>9895681</v>
      </c>
    </row>
    <row r="113" spans="1:6" x14ac:dyDescent="0.25">
      <c r="A113">
        <v>-5.9594169450661285</v>
      </c>
      <c r="B113">
        <v>27.32241791663391</v>
      </c>
      <c r="C113">
        <v>33.916727207393585</v>
      </c>
      <c r="E113" s="75">
        <f t="shared" si="3"/>
        <v>111</v>
      </c>
      <c r="F113" s="144" cm="1">
        <f t="array" ref="F113">HSLtoRGB(E113,255,128)</f>
        <v>10288897</v>
      </c>
    </row>
    <row r="114" spans="1:6" x14ac:dyDescent="0.25">
      <c r="A114">
        <v>-5.9477151568154767</v>
      </c>
      <c r="B114">
        <v>26.759305892023363</v>
      </c>
      <c r="C114">
        <v>34.450674708972414</v>
      </c>
      <c r="E114" s="75">
        <f t="shared" si="3"/>
        <v>112</v>
      </c>
      <c r="F114" s="58" cm="1">
        <f t="array" ref="F114">HSLtoRGB(E114,255,128)</f>
        <v>10682113</v>
      </c>
    </row>
    <row r="115" spans="1:6" x14ac:dyDescent="0.25">
      <c r="A115">
        <v>-5.9412621628107196</v>
      </c>
      <c r="B115">
        <v>26.165443734369994</v>
      </c>
      <c r="C115">
        <v>34.95216197402894</v>
      </c>
      <c r="E115" s="75">
        <f t="shared" si="3"/>
        <v>113</v>
      </c>
      <c r="F115" s="145" cm="1">
        <f t="array" ref="F115">HSLtoRGB(E115,255,128)</f>
        <v>11075329</v>
      </c>
    </row>
    <row r="116" spans="1:6" x14ac:dyDescent="0.25">
      <c r="A116">
        <v>-5.9367473060387104</v>
      </c>
      <c r="B116">
        <v>25.554439815052323</v>
      </c>
      <c r="C116">
        <v>35.432199401851207</v>
      </c>
      <c r="E116" s="75">
        <f t="shared" si="3"/>
        <v>114</v>
      </c>
      <c r="F116" s="146" cm="1">
        <f t="array" ref="F116">HSLtoRGB(E116,255,128)</f>
        <v>11468545</v>
      </c>
    </row>
    <row r="117" spans="1:6" x14ac:dyDescent="0.25">
      <c r="A117">
        <v>-5.9327924267352463</v>
      </c>
      <c r="B117">
        <v>24.944859256707716</v>
      </c>
      <c r="C117">
        <v>35.91416396456723</v>
      </c>
      <c r="E117" s="75">
        <f t="shared" si="3"/>
        <v>115</v>
      </c>
      <c r="F117" s="59" cm="1">
        <f t="array" ref="F117">HSLtoRGB(E117,255,128)</f>
        <v>11861761</v>
      </c>
    </row>
    <row r="118" spans="1:6" x14ac:dyDescent="0.25">
      <c r="A118">
        <v>-5.9311845947123718</v>
      </c>
      <c r="B118">
        <v>24.299503648503194</v>
      </c>
      <c r="C118">
        <v>36.347404376863757</v>
      </c>
      <c r="E118" s="75">
        <f t="shared" si="3"/>
        <v>116</v>
      </c>
      <c r="F118" s="147" cm="1">
        <f t="array" ref="F118">HSLtoRGB(E118,255,128)</f>
        <v>12254977</v>
      </c>
    </row>
    <row r="119" spans="1:6" x14ac:dyDescent="0.25">
      <c r="A119">
        <v>-5.9316513288312134</v>
      </c>
      <c r="B119">
        <v>23.617096148576113</v>
      </c>
      <c r="C119">
        <v>36.718456512941579</v>
      </c>
      <c r="E119" s="75">
        <f t="shared" si="3"/>
        <v>117</v>
      </c>
      <c r="F119" s="7" cm="1">
        <f t="array" ref="F119">HSLtoRGB(E119,255,128)</f>
        <v>12648193</v>
      </c>
    </row>
    <row r="120" spans="1:6" x14ac:dyDescent="0.25">
      <c r="A120">
        <v>-5.9642966332241594</v>
      </c>
      <c r="B120">
        <v>22.883342690198191</v>
      </c>
      <c r="C120">
        <v>36.9570051349925</v>
      </c>
      <c r="E120" s="75">
        <f t="shared" si="3"/>
        <v>118</v>
      </c>
      <c r="F120" s="148" cm="1">
        <f t="array" ref="F120">HSLtoRGB(E120,255,128)</f>
        <v>13041409</v>
      </c>
    </row>
    <row r="121" spans="1:6" x14ac:dyDescent="0.25">
      <c r="A121">
        <v>-6.173663857190185</v>
      </c>
      <c r="B121">
        <v>22.150250927148164</v>
      </c>
      <c r="C121">
        <v>36.891185867610552</v>
      </c>
      <c r="E121" s="75">
        <f t="shared" si="3"/>
        <v>119</v>
      </c>
      <c r="F121" s="149" cm="1">
        <f t="array" ref="F121">HSLtoRGB(E121,255,128)</f>
        <v>13434625</v>
      </c>
    </row>
    <row r="122" spans="1:6" x14ac:dyDescent="0.25">
      <c r="A122">
        <v>-6.3462792995071062</v>
      </c>
      <c r="B122">
        <v>21.273587671303904</v>
      </c>
      <c r="C122">
        <v>35.679174033353391</v>
      </c>
      <c r="E122" s="75">
        <f t="shared" si="3"/>
        <v>120</v>
      </c>
      <c r="F122" s="20" cm="1">
        <f t="array" ref="F122">HSLtoRGB(E122,255,128)</f>
        <v>13827841</v>
      </c>
    </row>
    <row r="123" spans="1:6" x14ac:dyDescent="0.25">
      <c r="A123">
        <v>-6.5060855474357799</v>
      </c>
      <c r="B123">
        <v>20.902586323236779</v>
      </c>
      <c r="C123">
        <v>34.182800325781386</v>
      </c>
      <c r="E123" s="75">
        <f t="shared" si="3"/>
        <v>121</v>
      </c>
      <c r="F123" s="150" cm="1">
        <f t="array" ref="F123">HSLtoRGB(E123,255,128)</f>
        <v>14221057</v>
      </c>
    </row>
    <row r="124" spans="1:6" x14ac:dyDescent="0.25">
      <c r="A124">
        <v>-6.642353847965409</v>
      </c>
      <c r="B124">
        <v>20.659085445859226</v>
      </c>
      <c r="C124">
        <v>32.66652726028137</v>
      </c>
      <c r="E124" s="75">
        <f t="shared" si="3"/>
        <v>122</v>
      </c>
      <c r="F124" s="60" cm="1">
        <f t="array" ref="F124">HSLtoRGB(E124,255,128)</f>
        <v>14614273</v>
      </c>
    </row>
    <row r="125" spans="1:6" x14ac:dyDescent="0.25">
      <c r="A125">
        <v>-6.8081637703669227</v>
      </c>
      <c r="B125">
        <v>20.355868094070843</v>
      </c>
      <c r="C125">
        <v>31.187377128431045</v>
      </c>
      <c r="E125" s="75">
        <f t="shared" si="3"/>
        <v>123</v>
      </c>
      <c r="F125" s="151" cm="1">
        <f t="array" ref="F125">HSLtoRGB(E125,255,128)</f>
        <v>15007489</v>
      </c>
    </row>
    <row r="126" spans="1:6" x14ac:dyDescent="0.25">
      <c r="A126">
        <v>-6.95688219084371</v>
      </c>
      <c r="B126">
        <v>20.22055996101443</v>
      </c>
      <c r="C126">
        <v>29.762643536734473</v>
      </c>
      <c r="E126" s="75">
        <f t="shared" si="3"/>
        <v>124</v>
      </c>
      <c r="F126" s="152" cm="1">
        <f t="array" ref="F126">HSLtoRGB(E126,255,128)</f>
        <v>15400705</v>
      </c>
    </row>
    <row r="127" spans="1:6" x14ac:dyDescent="0.25">
      <c r="A127">
        <v>-7.0291302128025519</v>
      </c>
      <c r="B127">
        <v>20.096145818709779</v>
      </c>
      <c r="C127">
        <v>28.230186513193136</v>
      </c>
      <c r="E127" s="75">
        <f t="shared" si="3"/>
        <v>125</v>
      </c>
      <c r="F127" s="61" cm="1">
        <f t="array" ref="F127">HSLtoRGB(E127,255,128)</f>
        <v>15793921</v>
      </c>
    </row>
    <row r="128" spans="1:6" x14ac:dyDescent="0.25">
      <c r="A128">
        <v>-7.1075655614317164</v>
      </c>
      <c r="B128">
        <v>19.92766984465176</v>
      </c>
      <c r="C128">
        <v>26.70299918479666</v>
      </c>
      <c r="E128" s="75">
        <f t="shared" si="3"/>
        <v>126</v>
      </c>
      <c r="F128" s="153" cm="1">
        <f t="array" ref="F128">HSLtoRGB(E128,255,128)</f>
        <v>16187137</v>
      </c>
    </row>
    <row r="129" spans="1:6" x14ac:dyDescent="0.25">
      <c r="A129">
        <v>-7.196449625628798</v>
      </c>
      <c r="B129">
        <v>19.626652699457949</v>
      </c>
      <c r="C129">
        <v>25.195434680425393</v>
      </c>
      <c r="E129" s="75">
        <f t="shared" si="3"/>
        <v>127</v>
      </c>
      <c r="F129" s="62" cm="1">
        <f t="array" ref="F129">HSLtoRGB(E129,255,128)</f>
        <v>16580353</v>
      </c>
    </row>
    <row r="130" spans="1:6" x14ac:dyDescent="0.25">
      <c r="A130">
        <v>-7.3793842013848252</v>
      </c>
      <c r="B130">
        <v>18.594929331401559</v>
      </c>
      <c r="C130">
        <v>24.216095462323594</v>
      </c>
      <c r="E130" s="75">
        <f t="shared" si="3"/>
        <v>128</v>
      </c>
      <c r="F130" s="154" cm="1">
        <f t="array" ref="F130">HSLtoRGB(E130,255,128)</f>
        <v>16776193</v>
      </c>
    </row>
    <row r="131" spans="1:6" x14ac:dyDescent="0.25">
      <c r="A131">
        <v>-7.524612153419989</v>
      </c>
      <c r="B131">
        <v>17.647351766388358</v>
      </c>
      <c r="C131">
        <v>23.070206504966087</v>
      </c>
      <c r="E131" s="75">
        <f t="shared" ref="E131:E162" si="4">+E130+1</f>
        <v>129</v>
      </c>
      <c r="F131" s="155" cm="1">
        <f t="array" ref="F131">HSLtoRGB(E131,255,128)</f>
        <v>16774657</v>
      </c>
    </row>
    <row r="132" spans="1:6" x14ac:dyDescent="0.25">
      <c r="A132">
        <v>-7.4950970739921878</v>
      </c>
      <c r="B132">
        <v>17.552701081557981</v>
      </c>
      <c r="C132">
        <v>21.536587418236536</v>
      </c>
      <c r="E132" s="75">
        <f t="shared" si="4"/>
        <v>130</v>
      </c>
      <c r="F132" s="8" cm="1">
        <f t="array" ref="F132">HSLtoRGB(E132,255,128)</f>
        <v>16773121</v>
      </c>
    </row>
    <row r="133" spans="1:6" x14ac:dyDescent="0.25">
      <c r="A133">
        <v>-7.5009471189238788</v>
      </c>
      <c r="B133">
        <v>17.678760782069869</v>
      </c>
      <c r="C133">
        <v>19.997950871973938</v>
      </c>
      <c r="E133" s="75">
        <f t="shared" si="4"/>
        <v>131</v>
      </c>
      <c r="F133" s="156" cm="1">
        <f t="array" ref="F133">HSLtoRGB(E133,255,128)</f>
        <v>16771585</v>
      </c>
    </row>
    <row r="134" spans="1:6" x14ac:dyDescent="0.25">
      <c r="A134">
        <v>-7.4255048394966501</v>
      </c>
      <c r="B134">
        <v>17.627529768878631</v>
      </c>
      <c r="C134">
        <v>18.451548093460577</v>
      </c>
      <c r="E134" s="75">
        <f t="shared" si="4"/>
        <v>132</v>
      </c>
      <c r="F134" s="63" cm="1">
        <f t="array" ref="F134">HSLtoRGB(E134,255,128)</f>
        <v>16770049</v>
      </c>
    </row>
    <row r="135" spans="1:6" x14ac:dyDescent="0.25">
      <c r="A135">
        <v>-7.3595931872289286</v>
      </c>
      <c r="B135">
        <v>17.426402469433199</v>
      </c>
      <c r="C135">
        <v>16.919705250272518</v>
      </c>
      <c r="E135" s="75">
        <f t="shared" si="4"/>
        <v>133</v>
      </c>
      <c r="F135" s="157" cm="1">
        <f t="array" ref="F135">HSLtoRGB(E135,255,128)</f>
        <v>16768513</v>
      </c>
    </row>
    <row r="136" spans="1:6" x14ac:dyDescent="0.25">
      <c r="A136">
        <v>-7.544358000322843</v>
      </c>
      <c r="B136">
        <v>16.863081483709585</v>
      </c>
      <c r="C136">
        <v>16.844340690943806</v>
      </c>
      <c r="E136" s="75">
        <f t="shared" si="4"/>
        <v>134</v>
      </c>
      <c r="F136" s="158" cm="1">
        <f t="array" ref="F136">HSLtoRGB(E136,255,128)</f>
        <v>16766977</v>
      </c>
    </row>
    <row r="137" spans="1:6" x14ac:dyDescent="0.25">
      <c r="A137">
        <v>-7.8311787282194478</v>
      </c>
      <c r="B137">
        <v>15.620007884664322</v>
      </c>
      <c r="C137">
        <v>17.704465341732721</v>
      </c>
      <c r="E137" s="75">
        <f t="shared" si="4"/>
        <v>135</v>
      </c>
      <c r="F137" s="29" cm="1">
        <f t="array" ref="F137">HSLtoRGB(E137,255,128)</f>
        <v>16765441</v>
      </c>
    </row>
    <row r="138" spans="1:6" x14ac:dyDescent="0.25">
      <c r="A138">
        <v>-7.9649374559350798</v>
      </c>
      <c r="B138">
        <v>14.181303432232092</v>
      </c>
      <c r="C138">
        <v>18.191016314732337</v>
      </c>
      <c r="E138" s="75">
        <f t="shared" si="4"/>
        <v>136</v>
      </c>
      <c r="F138" s="159" cm="1">
        <f t="array" ref="F138">HSLtoRGB(E138,255,128)</f>
        <v>16763905</v>
      </c>
    </row>
    <row r="139" spans="1:6" x14ac:dyDescent="0.25">
      <c r="A139">
        <v>-7.9043198586135475</v>
      </c>
      <c r="B139">
        <v>13.137684179346092</v>
      </c>
      <c r="C139">
        <v>17.173508617662741</v>
      </c>
      <c r="E139" s="75">
        <f t="shared" si="4"/>
        <v>137</v>
      </c>
      <c r="F139" s="64" cm="1">
        <f t="array" ref="F139">HSLtoRGB(E139,255,128)</f>
        <v>16762369</v>
      </c>
    </row>
    <row r="140" spans="1:6" x14ac:dyDescent="0.25">
      <c r="A140">
        <v>-7.8295478674430221</v>
      </c>
      <c r="B140">
        <v>12.709353371379056</v>
      </c>
      <c r="C140">
        <v>15.685753586041667</v>
      </c>
      <c r="E140" s="75">
        <f t="shared" si="4"/>
        <v>138</v>
      </c>
      <c r="F140" s="160" cm="1">
        <f t="array" ref="F140">HSLtoRGB(E140,255,128)</f>
        <v>16760833</v>
      </c>
    </row>
    <row r="141" spans="1:6" x14ac:dyDescent="0.25">
      <c r="A141">
        <v>-7.3188983630736786</v>
      </c>
      <c r="B141">
        <v>12.350339081273514</v>
      </c>
      <c r="C141">
        <v>14.275044141228747</v>
      </c>
      <c r="E141" s="75">
        <f t="shared" si="4"/>
        <v>139</v>
      </c>
      <c r="F141" s="161" cm="1">
        <f t="array" ref="F141">HSLtoRGB(E141,255,128)</f>
        <v>16759297</v>
      </c>
    </row>
    <row r="142" spans="1:6" x14ac:dyDescent="0.25">
      <c r="A142">
        <v>-7.0055201736597521</v>
      </c>
      <c r="B142">
        <v>12.463669765550497</v>
      </c>
      <c r="C142">
        <v>12.774336706039614</v>
      </c>
      <c r="E142" s="75">
        <f t="shared" si="4"/>
        <v>140</v>
      </c>
      <c r="F142" s="6" cm="1">
        <f t="array" ref="F142">HSLtoRGB(E142,255,128)</f>
        <v>16757761</v>
      </c>
    </row>
    <row r="143" spans="1:6" x14ac:dyDescent="0.25">
      <c r="A143">
        <v>-6.6323817839237389</v>
      </c>
      <c r="B143">
        <v>12.83186272530625</v>
      </c>
      <c r="C143">
        <v>11.335703035899147</v>
      </c>
      <c r="E143" s="75">
        <f t="shared" si="4"/>
        <v>141</v>
      </c>
      <c r="F143" s="162" cm="1">
        <f t="array" ref="F143">HSLtoRGB(E143,255,128)</f>
        <v>16756225</v>
      </c>
    </row>
    <row r="144" spans="1:6" x14ac:dyDescent="0.25">
      <c r="A144">
        <v>-6.2117835280822948</v>
      </c>
      <c r="B144">
        <v>13.029528982088747</v>
      </c>
      <c r="C144">
        <v>10.063824806927144</v>
      </c>
      <c r="E144" s="75">
        <f t="shared" si="4"/>
        <v>142</v>
      </c>
      <c r="F144" s="30" cm="1">
        <f t="array" ref="F144">HSLtoRGB(E144,255,128)</f>
        <v>16754689</v>
      </c>
    </row>
    <row r="145" spans="1:6" x14ac:dyDescent="0.25">
      <c r="A145">
        <v>-6.7834318816123069</v>
      </c>
      <c r="B145">
        <v>11.793428667425328</v>
      </c>
      <c r="C145">
        <v>10.754707502887436</v>
      </c>
      <c r="E145" s="75">
        <f t="shared" si="4"/>
        <v>143</v>
      </c>
      <c r="F145" s="163" cm="1">
        <f t="array" ref="F145">HSLtoRGB(E145,255,128)</f>
        <v>16753153</v>
      </c>
    </row>
    <row r="146" spans="1:6" x14ac:dyDescent="0.25">
      <c r="A146">
        <v>-7.0965479736732435</v>
      </c>
      <c r="B146">
        <v>10.347811388521189</v>
      </c>
      <c r="C146">
        <v>11.201049377494256</v>
      </c>
      <c r="E146" s="75">
        <f t="shared" si="4"/>
        <v>144</v>
      </c>
      <c r="F146" s="164" cm="1">
        <f t="array" ref="F146">HSLtoRGB(E146,255,128)</f>
        <v>16751617</v>
      </c>
    </row>
    <row r="147" spans="1:6" x14ac:dyDescent="0.25">
      <c r="A147">
        <v>-7.0097378403216188</v>
      </c>
      <c r="B147">
        <v>9.213142126160621</v>
      </c>
      <c r="C147">
        <v>10.525611101847611</v>
      </c>
      <c r="E147" s="75">
        <f t="shared" si="4"/>
        <v>145</v>
      </c>
      <c r="F147" s="65" cm="1">
        <f t="array" ref="F147">HSLtoRGB(E147,255,128)</f>
        <v>16750081</v>
      </c>
    </row>
    <row r="148" spans="1:6" x14ac:dyDescent="0.25">
      <c r="A148">
        <v>-6.5680696682567588</v>
      </c>
      <c r="B148">
        <v>9.0393457442379876</v>
      </c>
      <c r="C148">
        <v>9.0555807851379342</v>
      </c>
      <c r="E148" s="75">
        <f t="shared" si="4"/>
        <v>146</v>
      </c>
      <c r="F148" s="165" cm="1">
        <f t="array" ref="F148">HSLtoRGB(E148,255,128)</f>
        <v>16748545</v>
      </c>
    </row>
    <row r="149" spans="1:6" x14ac:dyDescent="0.25">
      <c r="A149">
        <v>-6.1459035296846469</v>
      </c>
      <c r="B149">
        <v>9.1279746838676896</v>
      </c>
      <c r="C149">
        <v>7.5758152995255568</v>
      </c>
      <c r="E149" s="75">
        <f t="shared" si="4"/>
        <v>147</v>
      </c>
      <c r="F149" s="66" cm="1">
        <f t="array" ref="F149">HSLtoRGB(E149,255,128)</f>
        <v>16747009</v>
      </c>
    </row>
    <row r="150" spans="1:6" x14ac:dyDescent="0.25">
      <c r="A150">
        <v>-5.699509349937717</v>
      </c>
      <c r="B150">
        <v>9.6604995013668429</v>
      </c>
      <c r="C150">
        <v>6.2093984452955331</v>
      </c>
      <c r="E150" s="75">
        <f t="shared" si="4"/>
        <v>148</v>
      </c>
      <c r="F150" s="166" cm="1">
        <f t="array" ref="F150">HSLtoRGB(E150,255,128)</f>
        <v>16745473</v>
      </c>
    </row>
    <row r="151" spans="1:6" x14ac:dyDescent="0.25">
      <c r="A151">
        <v>-5.2451429916010559</v>
      </c>
      <c r="B151">
        <v>9.6821572951725923</v>
      </c>
      <c r="C151">
        <v>4.9824187477082731</v>
      </c>
      <c r="E151" s="75">
        <f t="shared" si="4"/>
        <v>149</v>
      </c>
      <c r="F151" s="167" cm="1">
        <f t="array" ref="F151">HSLtoRGB(E151,255,128)</f>
        <v>16744193</v>
      </c>
    </row>
    <row r="152" spans="1:6" x14ac:dyDescent="0.25">
      <c r="A152">
        <v>-4.7261141622650147</v>
      </c>
      <c r="B152">
        <v>10.45326558640763</v>
      </c>
      <c r="C152">
        <v>4.1558311105980463</v>
      </c>
      <c r="E152" s="75">
        <f t="shared" si="4"/>
        <v>150</v>
      </c>
      <c r="F152" s="21" cm="1">
        <f t="array" ref="F152">HSLtoRGB(E152,255,128)</f>
        <v>16742657</v>
      </c>
    </row>
    <row r="153" spans="1:6" x14ac:dyDescent="0.25">
      <c r="A153">
        <v>-4.7306106178800551</v>
      </c>
      <c r="B153">
        <v>10.442531302494281</v>
      </c>
      <c r="C153">
        <v>4.1782940517016698</v>
      </c>
      <c r="E153" s="75">
        <f t="shared" si="4"/>
        <v>151</v>
      </c>
      <c r="F153" s="168" cm="1">
        <f t="array" ref="F153">HSLtoRGB(E153,255,128)</f>
        <v>16741121</v>
      </c>
    </row>
    <row r="154" spans="1:6" x14ac:dyDescent="0.25">
      <c r="A154">
        <v>-4.7270318877814956</v>
      </c>
      <c r="B154">
        <v>10.451074721626163</v>
      </c>
      <c r="C154">
        <v>4.1604157915091697</v>
      </c>
      <c r="E154" s="75">
        <f t="shared" si="4"/>
        <v>152</v>
      </c>
      <c r="F154" s="67" cm="1">
        <f t="array" ref="F154">HSLtoRGB(E154,255,128)</f>
        <v>16739585</v>
      </c>
    </row>
    <row r="155" spans="1:6" x14ac:dyDescent="0.25">
      <c r="A155">
        <v>-4.7296928923635768</v>
      </c>
      <c r="B155">
        <v>10.444722167275742</v>
      </c>
      <c r="C155">
        <v>4.1737093707905579</v>
      </c>
      <c r="E155" s="75">
        <f t="shared" si="4"/>
        <v>153</v>
      </c>
      <c r="F155" s="169" cm="1">
        <f t="array" ref="F155">HSLtoRGB(E155,255,128)</f>
        <v>16738049</v>
      </c>
    </row>
    <row r="156" spans="1:6" x14ac:dyDescent="0.25">
      <c r="A156">
        <v>-4.727949613297973</v>
      </c>
      <c r="B156">
        <v>10.4488838568447</v>
      </c>
      <c r="C156">
        <v>4.1650004724202816</v>
      </c>
      <c r="E156" s="75">
        <f t="shared" si="4"/>
        <v>154</v>
      </c>
      <c r="F156" s="170" cm="1">
        <f t="array" ref="F156">HSLtoRGB(E156,255,128)</f>
        <v>16736513</v>
      </c>
    </row>
    <row r="157" spans="1:6" x14ac:dyDescent="0.25">
      <c r="A157">
        <v>-4.7287751668470985</v>
      </c>
      <c r="B157">
        <v>10.446913032057207</v>
      </c>
      <c r="C157">
        <v>4.1691246898794398</v>
      </c>
      <c r="E157" s="75">
        <f t="shared" si="4"/>
        <v>155</v>
      </c>
      <c r="F157" s="68" cm="1">
        <f t="array" ref="F157">HSLtoRGB(E157,255,128)</f>
        <v>16734977</v>
      </c>
    </row>
    <row r="158" spans="1:6" x14ac:dyDescent="0.25">
      <c r="A158">
        <v>-4.7288673388144531</v>
      </c>
      <c r="B158">
        <v>10.446692992063234</v>
      </c>
      <c r="C158">
        <v>4.1695851533314006</v>
      </c>
      <c r="E158" s="75">
        <f t="shared" si="4"/>
        <v>156</v>
      </c>
      <c r="F158" s="171" cm="1">
        <f t="array" ref="F158">HSLtoRGB(E158,255,128)</f>
        <v>16733441</v>
      </c>
    </row>
    <row r="159" spans="1:6" x14ac:dyDescent="0.25">
      <c r="A159">
        <v>-4.7278574413306185</v>
      </c>
      <c r="B159">
        <v>10.449103896838672</v>
      </c>
      <c r="C159">
        <v>4.1645400089683218</v>
      </c>
      <c r="E159" s="75">
        <f t="shared" si="4"/>
        <v>157</v>
      </c>
      <c r="F159" s="69" cm="1">
        <f t="array" ref="F159">HSLtoRGB(E159,255,128)</f>
        <v>16731905</v>
      </c>
    </row>
    <row r="160" spans="1:6" x14ac:dyDescent="0.25">
      <c r="A160">
        <v>-4.7297850643309314</v>
      </c>
      <c r="B160">
        <v>10.444502127281769</v>
      </c>
      <c r="C160">
        <v>4.1741698342425178</v>
      </c>
      <c r="E160" s="75">
        <f t="shared" si="4"/>
        <v>158</v>
      </c>
      <c r="F160" s="172" cm="1">
        <f t="array" ref="F160">HSLtoRGB(E160,255,128)</f>
        <v>16730369</v>
      </c>
    </row>
    <row r="161" spans="1:6" x14ac:dyDescent="0.25">
      <c r="A161">
        <v>-4.7269397158141429</v>
      </c>
      <c r="B161">
        <v>10.451294761620133</v>
      </c>
      <c r="C161">
        <v>4.159955328057217</v>
      </c>
      <c r="E161" s="75">
        <f t="shared" si="4"/>
        <v>159</v>
      </c>
      <c r="F161" s="173" cm="1">
        <f t="array" ref="F161">HSLtoRGB(E161,255,128)</f>
        <v>16728833</v>
      </c>
    </row>
    <row r="162" spans="1:6" x14ac:dyDescent="0.25">
      <c r="A162">
        <v>-4.7307027898474105</v>
      </c>
      <c r="B162">
        <v>10.442311262500304</v>
      </c>
      <c r="C162">
        <v>4.1787545151536358</v>
      </c>
      <c r="E162" s="75">
        <f t="shared" si="4"/>
        <v>160</v>
      </c>
      <c r="F162" s="22" cm="1">
        <f t="array" ref="F162">HSLtoRGB(E162,255,128)</f>
        <v>16727297</v>
      </c>
    </row>
    <row r="163" spans="1:6" x14ac:dyDescent="0.25">
      <c r="A163">
        <v>-4.7260219902976166</v>
      </c>
      <c r="B163">
        <v>10.453485626401708</v>
      </c>
      <c r="C163">
        <v>4.1553706471458653</v>
      </c>
      <c r="E163" s="75">
        <f t="shared" ref="E163:E180" si="5">+E162+1</f>
        <v>161</v>
      </c>
      <c r="F163" s="174" cm="1">
        <f t="array" ref="F163">HSLtoRGB(E163,255,128)</f>
        <v>16725761</v>
      </c>
    </row>
    <row r="164" spans="1:6" x14ac:dyDescent="0.25">
      <c r="A164">
        <v>-4.7309611191574819</v>
      </c>
      <c r="B164">
        <v>10.44169455894647</v>
      </c>
      <c r="C164">
        <v>4.180045050760854</v>
      </c>
      <c r="E164" s="75">
        <f t="shared" si="5"/>
        <v>162</v>
      </c>
      <c r="F164" s="70" cm="1">
        <f t="array" ref="F164">HSLtoRGB(E164,255,128)</f>
        <v>16724225</v>
      </c>
    </row>
    <row r="165" spans="1:6" x14ac:dyDescent="0.25">
      <c r="A165">
        <v>-4.7266813865041311</v>
      </c>
      <c r="B165">
        <v>10.45191146517382</v>
      </c>
      <c r="C165">
        <v>4.1586647924503044</v>
      </c>
      <c r="E165" s="75">
        <f t="shared" si="5"/>
        <v>163</v>
      </c>
      <c r="F165" s="175" cm="1">
        <f t="array" ref="F165">HSLtoRGB(E165,255,128)</f>
        <v>16722689</v>
      </c>
    </row>
    <row r="166" spans="1:6" x14ac:dyDescent="0.25">
      <c r="A166">
        <v>-4.7300433936408783</v>
      </c>
      <c r="B166">
        <v>10.443885423728233</v>
      </c>
      <c r="C166">
        <v>4.1754603698491115</v>
      </c>
      <c r="E166" s="75">
        <f t="shared" si="5"/>
        <v>164</v>
      </c>
      <c r="F166" s="176" cm="1">
        <f t="array" ref="F166">HSLtoRGB(E166,255,128)</f>
        <v>16721153</v>
      </c>
    </row>
    <row r="167" spans="1:6" x14ac:dyDescent="0.25">
      <c r="A167">
        <v>-4.727599112020739</v>
      </c>
      <c r="B167">
        <v>10.44972060039205</v>
      </c>
      <c r="C167">
        <v>4.1632494733620602</v>
      </c>
      <c r="E167" s="75">
        <f t="shared" si="5"/>
        <v>165</v>
      </c>
      <c r="F167" s="71" cm="1">
        <f t="array" ref="F167">HSLtoRGB(E167,255,128)</f>
        <v>16719617</v>
      </c>
    </row>
    <row r="168" spans="1:6" x14ac:dyDescent="0.25">
      <c r="A168">
        <v>-4.7291256681242713</v>
      </c>
      <c r="B168">
        <v>10.446076288510003</v>
      </c>
      <c r="C168">
        <v>4.1708756889373557</v>
      </c>
      <c r="E168" s="75">
        <f t="shared" si="5"/>
        <v>166</v>
      </c>
      <c r="F168" s="177" cm="1">
        <f t="array" ref="F168">HSLtoRGB(E168,255,128)</f>
        <v>16718081</v>
      </c>
    </row>
    <row r="169" spans="1:6" x14ac:dyDescent="0.25">
      <c r="A169">
        <v>-4.7285168375373425</v>
      </c>
      <c r="B169">
        <v>10.447529735610285</v>
      </c>
      <c r="C169">
        <v>4.1678341542738035</v>
      </c>
      <c r="E169" s="75">
        <f t="shared" si="5"/>
        <v>167</v>
      </c>
      <c r="F169" s="72" cm="1">
        <f t="array" ref="F169">HSLtoRGB(E169,255,128)</f>
        <v>16716545</v>
      </c>
    </row>
    <row r="170" spans="1:6" x14ac:dyDescent="0.25">
      <c r="A170">
        <v>-4.7282079426076606</v>
      </c>
      <c r="B170">
        <v>10.448267153291786</v>
      </c>
      <c r="C170">
        <v>4.1662910080255759</v>
      </c>
      <c r="E170" s="75">
        <f t="shared" si="5"/>
        <v>168</v>
      </c>
      <c r="F170" s="178" cm="1">
        <f t="array" ref="F170">HSLtoRGB(E170,255,128)</f>
        <v>16715009</v>
      </c>
    </row>
    <row r="171" spans="1:6" x14ac:dyDescent="0.25">
      <c r="A171">
        <v>-4.729434563053954</v>
      </c>
      <c r="B171">
        <v>10.445338870828504</v>
      </c>
      <c r="C171">
        <v>4.1724188351855833</v>
      </c>
      <c r="E171" s="75">
        <f t="shared" si="5"/>
        <v>169</v>
      </c>
      <c r="F171" s="179" cm="1">
        <f t="array" ref="F171">HSLtoRGB(E171,255,128)</f>
        <v>16713473</v>
      </c>
    </row>
    <row r="172" spans="1:6" x14ac:dyDescent="0.25">
      <c r="A172">
        <v>-4.8262488355298254</v>
      </c>
      <c r="B172">
        <v>10.125212436046409</v>
      </c>
      <c r="C172">
        <v>4.1776919099424896</v>
      </c>
      <c r="E172" s="75">
        <f t="shared" si="5"/>
        <v>170</v>
      </c>
      <c r="F172" s="23" cm="1">
        <f t="array" ref="F172">HSLtoRGB(E172,255,128)</f>
        <v>16711937</v>
      </c>
    </row>
    <row r="173" spans="1:6" x14ac:dyDescent="0.25">
      <c r="A173">
        <v>-5.0669446160444629</v>
      </c>
      <c r="B173">
        <v>8.6256147387355746</v>
      </c>
      <c r="C173">
        <v>4.2838897804588001</v>
      </c>
      <c r="E173" s="75">
        <f t="shared" si="5"/>
        <v>171</v>
      </c>
      <c r="F173" s="180" cm="1">
        <f t="array" ref="F173">HSLtoRGB(E173,255,128)</f>
        <v>16711943</v>
      </c>
    </row>
    <row r="174" spans="1:6" x14ac:dyDescent="0.25">
      <c r="A174">
        <v>-4.7974044527719046</v>
      </c>
      <c r="B174">
        <v>7.2777108964228692</v>
      </c>
      <c r="C174">
        <v>3.9554600631995571</v>
      </c>
      <c r="E174" s="75">
        <f t="shared" si="5"/>
        <v>172</v>
      </c>
      <c r="F174" s="31" cm="1">
        <f t="array" ref="F174">HSLtoRGB(E174,255,128)</f>
        <v>16711949</v>
      </c>
    </row>
    <row r="175" spans="1:6" x14ac:dyDescent="0.25">
      <c r="A175">
        <v>-4.2853790297980385</v>
      </c>
      <c r="B175">
        <v>7.3488297049937579</v>
      </c>
      <c r="C175">
        <v>2.5193070321776938</v>
      </c>
      <c r="E175" s="75">
        <f t="shared" si="5"/>
        <v>173</v>
      </c>
      <c r="F175" s="181" cm="1">
        <f t="array" ref="F175">HSLtoRGB(E175,255,128)</f>
        <v>16711955</v>
      </c>
    </row>
    <row r="176" spans="1:6" x14ac:dyDescent="0.25">
      <c r="A176">
        <v>-3.6961647654295051</v>
      </c>
      <c r="B176">
        <v>7.8818249327266869</v>
      </c>
      <c r="C176">
        <v>1.2077093603054774</v>
      </c>
      <c r="E176" s="75">
        <f t="shared" si="5"/>
        <v>174</v>
      </c>
      <c r="F176" s="182" cm="1">
        <f t="array" ref="F176">HSLtoRGB(E176,255,128)</f>
        <v>16711961</v>
      </c>
    </row>
    <row r="177" spans="1:6" x14ac:dyDescent="0.25">
      <c r="A177">
        <v>-3.0706497404665223</v>
      </c>
      <c r="B177">
        <v>8.7109820810565619</v>
      </c>
      <c r="C177">
        <v>0.1095106650423701</v>
      </c>
      <c r="E177" s="75">
        <f t="shared" si="5"/>
        <v>175</v>
      </c>
      <c r="F177" s="73" cm="1">
        <f t="array" ref="F177">HSLtoRGB(E177,255,128)</f>
        <v>16711967</v>
      </c>
    </row>
    <row r="178" spans="1:6" x14ac:dyDescent="0.25">
      <c r="A178">
        <v>-2.8077231344722966</v>
      </c>
      <c r="B178">
        <v>8.1010218452350955</v>
      </c>
      <c r="C178">
        <v>-1.0459082041578225</v>
      </c>
      <c r="E178" s="75">
        <f t="shared" si="5"/>
        <v>176</v>
      </c>
      <c r="F178" s="183" cm="1">
        <f t="array" ref="F178">HSLtoRGB(E178,255,128)</f>
        <v>16711973</v>
      </c>
    </row>
    <row r="179" spans="1:6" x14ac:dyDescent="0.25">
      <c r="A179">
        <v>-2.074784656018227</v>
      </c>
      <c r="B179">
        <v>9.1105853102206904</v>
      </c>
      <c r="C179">
        <v>-1.901553113980615</v>
      </c>
      <c r="E179" s="75">
        <f t="shared" si="5"/>
        <v>177</v>
      </c>
      <c r="F179" s="74" cm="1">
        <f t="array" ref="F179">HSLtoRGB(E179,255,128)</f>
        <v>16711979</v>
      </c>
    </row>
    <row r="180" spans="1:6" x14ac:dyDescent="0.25">
      <c r="A180">
        <v>-1.764511022728896</v>
      </c>
      <c r="B180">
        <v>9.3344895185798489</v>
      </c>
      <c r="C180">
        <v>-3.3652014668132231</v>
      </c>
      <c r="E180" s="75">
        <f t="shared" si="5"/>
        <v>178</v>
      </c>
      <c r="F180" s="184" cm="1">
        <f t="array" ref="F180">HSLtoRGB(E180,255,128)</f>
        <v>16711985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Write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74F49E-5DA5-4F09-80B4-F8CBE9822E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Base</vt:lpstr>
      <vt:lpstr>Arch</vt:lpstr>
      <vt:lpstr>Combined</vt:lpstr>
      <vt:lpstr>GraphData_Arch</vt:lpstr>
      <vt:lpstr>GraphData_Base</vt:lpstr>
      <vt:lpstr>Arch!vbaDataRead</vt:lpstr>
      <vt:lpstr>Base!vbaDataRead</vt:lpstr>
      <vt:lpstr>Arch!vbaFileName</vt:lpstr>
      <vt:lpstr>Base!vbaFileName</vt:lpstr>
      <vt:lpstr>Combined!vbaFileName</vt:lpstr>
      <vt:lpstr>vbaNameOut</vt:lpstr>
      <vt:lpstr>Arch!vbaRgeColors</vt:lpstr>
      <vt:lpstr>Base!vbaRgeColors</vt:lpstr>
      <vt:lpstr>Combined!vbaRgeColors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Crisp</dc:creator>
  <cp:lastModifiedBy>Andrew Crisp</cp:lastModifiedBy>
  <dcterms:created xsi:type="dcterms:W3CDTF">2025-07-22T05:19:53Z</dcterms:created>
  <dcterms:modified xsi:type="dcterms:W3CDTF">2025-08-19T02:05:26Z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71131435-3dad-4d4a-bb86-6627d4063f83</vt:lpwstr>
  </property>
</Properties>
</file>