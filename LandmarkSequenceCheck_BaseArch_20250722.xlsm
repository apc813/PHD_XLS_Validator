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W:\GitHub\PHD_XLS_Validator\"/>
    </mc:Choice>
  </mc:AlternateContent>
  <xr:revisionPtr revIDLastSave="0" documentId="13_ncr:1_{5AF42373-338F-4620-A2F7-242A87A47501}" xr6:coauthVersionLast="47" xr6:coauthVersionMax="47" xr10:uidLastSave="{00000000-0000-0000-0000-000000000000}"/>
  <bookViews>
    <workbookView xWindow="25800" yWindow="0" windowWidth="25800" windowHeight="21000" activeTab="2" xr2:uid="{B30E8A96-C8BB-4099-9CE9-6C249E4F3EED}"/>
  </bookViews>
  <sheets>
    <sheet name="Base" sheetId="1" r:id="rId1"/>
    <sheet name="Arch" sheetId="2" r:id="rId2"/>
    <sheet name="Combined" sheetId="3" r:id="rId3"/>
  </sheets>
  <functionGroups builtInGroupCount="19"/>
  <definedNames>
    <definedName name="GraphData_Arch">Arch!$G$2:$I$60</definedName>
    <definedName name="GraphData_Base">Base!$G$2:$I$21</definedName>
    <definedName name="rgeX">OFFSET(Combined!$A$2,0,0,39,1)</definedName>
    <definedName name="vbaDataOut">_xlfn.ANCHORARRAY(Combined!$A$2)</definedName>
    <definedName name="vbaDataRead" localSheetId="1">Arch!$A$2:$C$2000</definedName>
    <definedName name="vbaDataRead" localSheetId="0">Base!$A$2:$C$2000</definedName>
    <definedName name="vbaFileName" localSheetId="1">Arch!$L$1</definedName>
    <definedName name="vbaFileName" localSheetId="0">Base!$L$1</definedName>
    <definedName name="vbaFileName" localSheetId="2">Combined!$G$1</definedName>
    <definedName name="vbaNameOut">Combined!$L$1</definedName>
    <definedName name="vbaRgeColors" localSheetId="1">Arch!$K$2:$K$60</definedName>
    <definedName name="vbaRgeColors" localSheetId="0">Base!$K$2:$K$21</definedName>
    <definedName name="vbaRgeColors" localSheetId="2">Combined!$F$2:$F$80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3" l="1" a="1"/>
  <c r="L1" i="3" s="1"/>
  <c r="F3" i="3" a="1"/>
  <c r="F3" i="3" s="1"/>
  <c r="F2" i="3" a="1"/>
  <c r="F2" i="3" s="1"/>
  <c r="G21" i="2" a="1"/>
  <c r="H21" i="2" a="1"/>
  <c r="I21" i="2" a="1"/>
  <c r="G22" i="2" a="1"/>
  <c r="H22" i="2" a="1"/>
  <c r="I22" i="2" a="1"/>
  <c r="G23" i="2" a="1"/>
  <c r="H23" i="2" a="1"/>
  <c r="I23" i="2" a="1"/>
  <c r="G24" i="2" a="1"/>
  <c r="H24" i="2" a="1"/>
  <c r="I24" i="2" a="1"/>
  <c r="G25" i="2" a="1"/>
  <c r="H25" i="2" a="1"/>
  <c r="I25" i="2" a="1"/>
  <c r="G26" i="2" a="1"/>
  <c r="H26" i="2" a="1"/>
  <c r="I26" i="2" a="1"/>
  <c r="G27" i="2" a="1"/>
  <c r="H27" i="2" a="1"/>
  <c r="I27" i="2" a="1"/>
  <c r="G28" i="2" a="1"/>
  <c r="H28" i="2" a="1"/>
  <c r="I28" i="2" a="1"/>
  <c r="G29" i="2" a="1"/>
  <c r="H29" i="2" a="1"/>
  <c r="I29" i="2" a="1"/>
  <c r="G30" i="2" a="1"/>
  <c r="H30" i="2" a="1"/>
  <c r="I30" i="2" a="1"/>
  <c r="G31" i="2" a="1"/>
  <c r="H31" i="2" a="1"/>
  <c r="I31" i="2" a="1"/>
  <c r="G32" i="2" a="1"/>
  <c r="H32" i="2" a="1"/>
  <c r="I32" i="2" a="1"/>
  <c r="G33" i="2" a="1"/>
  <c r="H33" i="2" a="1"/>
  <c r="I33" i="2" a="1"/>
  <c r="G34" i="2" a="1"/>
  <c r="H34" i="2" a="1"/>
  <c r="I34" i="2" a="1"/>
  <c r="G35" i="2" a="1"/>
  <c r="H35" i="2" a="1"/>
  <c r="I35" i="2" a="1"/>
  <c r="G36" i="2" a="1"/>
  <c r="H36" i="2" a="1"/>
  <c r="I36" i="2" a="1"/>
  <c r="G37" i="2" a="1"/>
  <c r="H37" i="2" a="1"/>
  <c r="I37" i="2" a="1"/>
  <c r="G38" i="2" a="1"/>
  <c r="H38" i="2" a="1"/>
  <c r="I38" i="2" a="1"/>
  <c r="G39" i="2" a="1"/>
  <c r="H39" i="2" a="1"/>
  <c r="I39" i="2" a="1"/>
  <c r="G40" i="2" a="1"/>
  <c r="H40" i="2" a="1"/>
  <c r="I40" i="2" a="1"/>
  <c r="G41" i="2" a="1"/>
  <c r="H41" i="2" a="1"/>
  <c r="I41" i="2" a="1"/>
  <c r="G42" i="2" a="1"/>
  <c r="H42" i="2" a="1"/>
  <c r="I42" i="2" a="1"/>
  <c r="G43" i="2" a="1"/>
  <c r="H43" i="2" a="1"/>
  <c r="I43" i="2" a="1"/>
  <c r="G44" i="2" a="1"/>
  <c r="H44" i="2" a="1"/>
  <c r="I44" i="2" a="1"/>
  <c r="G45" i="2" a="1"/>
  <c r="H45" i="2" a="1"/>
  <c r="I45" i="2" a="1"/>
  <c r="G46" i="2" a="1"/>
  <c r="H46" i="2" a="1"/>
  <c r="I46" i="2" a="1"/>
  <c r="G47" i="2" a="1"/>
  <c r="H47" i="2" a="1"/>
  <c r="I47" i="2" a="1"/>
  <c r="G48" i="2" a="1"/>
  <c r="H48" i="2" a="1"/>
  <c r="I48" i="2" a="1"/>
  <c r="G49" i="2" a="1"/>
  <c r="H49" i="2" a="1"/>
  <c r="I49" i="2" a="1"/>
  <c r="G50" i="2" a="1"/>
  <c r="H50" i="2" a="1"/>
  <c r="I50" i="2" a="1"/>
  <c r="G51" i="2" a="1"/>
  <c r="H51" i="2" a="1"/>
  <c r="I51" i="2" a="1"/>
  <c r="G52" i="2" a="1"/>
  <c r="H52" i="2" a="1"/>
  <c r="I52" i="2" a="1"/>
  <c r="G53" i="2" a="1"/>
  <c r="H53" i="2" a="1"/>
  <c r="I53" i="2" a="1"/>
  <c r="G54" i="2" a="1"/>
  <c r="H54" i="2" a="1"/>
  <c r="I54" i="2" a="1"/>
  <c r="G55" i="2" a="1"/>
  <c r="H55" i="2" a="1"/>
  <c r="I55" i="2" a="1"/>
  <c r="G56" i="2" a="1"/>
  <c r="H56" i="2" a="1"/>
  <c r="I56" i="2" a="1"/>
  <c r="G57" i="2" a="1"/>
  <c r="H57" i="2" a="1"/>
  <c r="I57" i="2" a="1"/>
  <c r="G58" i="2" a="1"/>
  <c r="H58" i="2" a="1"/>
  <c r="I58" i="2" a="1"/>
  <c r="G59" i="2" a="1"/>
  <c r="H59" i="2" a="1"/>
  <c r="I59" i="2" a="1"/>
  <c r="G60" i="2" a="1"/>
  <c r="H60" i="2" a="1"/>
  <c r="I60" i="2" a="1"/>
  <c r="AA14" i="1"/>
  <c r="G2" i="2" a="1"/>
  <c r="G2" i="2" s="1"/>
  <c r="H2" i="2" a="1"/>
  <c r="H2" i="2" s="1"/>
  <c r="I2" i="2" a="1"/>
  <c r="I2" i="2" s="1"/>
  <c r="G3" i="2" a="1"/>
  <c r="G3" i="2" s="1"/>
  <c r="H3" i="2" a="1"/>
  <c r="H3" i="2" s="1"/>
  <c r="I3" i="2" a="1"/>
  <c r="I3" i="2" s="1"/>
  <c r="G4" i="2" a="1"/>
  <c r="G4" i="2" s="1"/>
  <c r="H4" i="2" a="1"/>
  <c r="H4" i="2" s="1"/>
  <c r="I4" i="2" a="1"/>
  <c r="I4" i="2" s="1"/>
  <c r="G5" i="2" a="1"/>
  <c r="G5" i="2" s="1"/>
  <c r="H5" i="2" a="1"/>
  <c r="H5" i="2" s="1"/>
  <c r="I5" i="2" a="1"/>
  <c r="I5" i="2" s="1"/>
  <c r="G6" i="2" a="1"/>
  <c r="G6" i="2" s="1"/>
  <c r="H6" i="2" a="1"/>
  <c r="H6" i="2" s="1"/>
  <c r="I6" i="2" a="1"/>
  <c r="I6" i="2" s="1"/>
  <c r="G7" i="2" a="1"/>
  <c r="G7" i="2" s="1"/>
  <c r="H7" i="2" a="1"/>
  <c r="H7" i="2" s="1"/>
  <c r="I7" i="2" a="1"/>
  <c r="I7" i="2" s="1"/>
  <c r="G8" i="2" a="1"/>
  <c r="G8" i="2" s="1"/>
  <c r="H8" i="2" a="1"/>
  <c r="H8" i="2" s="1"/>
  <c r="I8" i="2" a="1"/>
  <c r="I8" i="2" s="1"/>
  <c r="G9" i="2" a="1"/>
  <c r="G9" i="2" s="1"/>
  <c r="H9" i="2" a="1"/>
  <c r="H9" i="2" s="1"/>
  <c r="I9" i="2" a="1"/>
  <c r="I9" i="2" s="1"/>
  <c r="G10" i="2" a="1"/>
  <c r="G10" i="2" s="1"/>
  <c r="H10" i="2" a="1"/>
  <c r="H10" i="2" s="1"/>
  <c r="I10" i="2" a="1"/>
  <c r="I10" i="2" s="1"/>
  <c r="G11" i="2" a="1"/>
  <c r="G11" i="2" s="1"/>
  <c r="H11" i="2" a="1"/>
  <c r="H11" i="2" s="1"/>
  <c r="I11" i="2" a="1"/>
  <c r="I11" i="2" s="1"/>
  <c r="G12" i="2" a="1"/>
  <c r="G12" i="2" s="1"/>
  <c r="H12" i="2" a="1"/>
  <c r="H12" i="2" s="1"/>
  <c r="I12" i="2" a="1"/>
  <c r="I12" i="2" s="1"/>
  <c r="G13" i="2" a="1"/>
  <c r="G13" i="2" s="1"/>
  <c r="H13" i="2" a="1"/>
  <c r="H13" i="2" s="1"/>
  <c r="I13" i="2" a="1"/>
  <c r="I13" i="2" s="1"/>
  <c r="G14" i="2" a="1"/>
  <c r="G14" i="2" s="1"/>
  <c r="H14" i="2" a="1"/>
  <c r="H14" i="2" s="1"/>
  <c r="I14" i="2" a="1"/>
  <c r="I14" i="2" s="1"/>
  <c r="G15" i="2" a="1"/>
  <c r="G15" i="2" s="1"/>
  <c r="H15" i="2" a="1"/>
  <c r="H15" i="2" s="1"/>
  <c r="I15" i="2" a="1"/>
  <c r="I15" i="2" s="1"/>
  <c r="G16" i="2" a="1"/>
  <c r="G16" i="2" s="1"/>
  <c r="H16" i="2" a="1"/>
  <c r="H16" i="2" s="1"/>
  <c r="I16" i="2" a="1"/>
  <c r="I16" i="2" s="1"/>
  <c r="G17" i="2" a="1"/>
  <c r="G17" i="2" s="1"/>
  <c r="H17" i="2" a="1"/>
  <c r="H17" i="2" s="1"/>
  <c r="I17" i="2" a="1"/>
  <c r="I17" i="2" s="1"/>
  <c r="G18" i="2" a="1"/>
  <c r="G18" i="2" s="1"/>
  <c r="H18" i="2" a="1"/>
  <c r="H18" i="2" s="1"/>
  <c r="I18" i="2" a="1"/>
  <c r="I18" i="2" s="1"/>
  <c r="G19" i="2" a="1"/>
  <c r="G19" i="2" s="1"/>
  <c r="H19" i="2" a="1"/>
  <c r="H19" i="2" s="1"/>
  <c r="I19" i="2" a="1"/>
  <c r="I19" i="2" s="1"/>
  <c r="G20" i="2" a="1"/>
  <c r="G20" i="2" s="1"/>
  <c r="H20" i="2" a="1"/>
  <c r="H20" i="2" s="1"/>
  <c r="I20" i="2" a="1"/>
  <c r="I20" i="2" s="1"/>
  <c r="H2" i="1" a="1"/>
  <c r="I2" i="1" a="1"/>
  <c r="H3" i="1" a="1"/>
  <c r="H3" i="1" s="1"/>
  <c r="I3" i="1" a="1"/>
  <c r="I3" i="1" s="1"/>
  <c r="H4" i="1" a="1"/>
  <c r="H4" i="1" s="1"/>
  <c r="I4" i="1" a="1"/>
  <c r="I4" i="1" s="1"/>
  <c r="H5" i="1" a="1"/>
  <c r="H5" i="1" s="1"/>
  <c r="I5" i="1" a="1"/>
  <c r="I5" i="1" s="1"/>
  <c r="H6" i="1" a="1"/>
  <c r="H6" i="1" s="1"/>
  <c r="I6" i="1" a="1"/>
  <c r="I6" i="1" s="1"/>
  <c r="H7" i="1" a="1"/>
  <c r="H7" i="1" s="1"/>
  <c r="I7" i="1" a="1"/>
  <c r="I7" i="1" s="1"/>
  <c r="H8" i="1" a="1"/>
  <c r="H8" i="1" s="1"/>
  <c r="I8" i="1" a="1"/>
  <c r="I8" i="1" s="1"/>
  <c r="H9" i="1" a="1"/>
  <c r="H9" i="1" s="1"/>
  <c r="I9" i="1" a="1"/>
  <c r="I9" i="1" s="1"/>
  <c r="H10" i="1" a="1"/>
  <c r="H10" i="1" s="1"/>
  <c r="I10" i="1" a="1"/>
  <c r="I10" i="1" s="1"/>
  <c r="H11" i="1" a="1"/>
  <c r="H11" i="1" s="1"/>
  <c r="I11" i="1" a="1"/>
  <c r="I11" i="1" s="1"/>
  <c r="H12" i="1" a="1"/>
  <c r="H12" i="1" s="1"/>
  <c r="I12" i="1" a="1"/>
  <c r="I12" i="1" s="1"/>
  <c r="H13" i="1" a="1"/>
  <c r="H13" i="1" s="1"/>
  <c r="I13" i="1" a="1"/>
  <c r="I13" i="1" s="1"/>
  <c r="H14" i="1" a="1"/>
  <c r="H14" i="1" s="1"/>
  <c r="I14" i="1" a="1"/>
  <c r="I14" i="1" s="1"/>
  <c r="H15" i="1" a="1"/>
  <c r="H15" i="1" s="1"/>
  <c r="I15" i="1" a="1"/>
  <c r="I15" i="1" s="1"/>
  <c r="H16" i="1" a="1"/>
  <c r="H16" i="1" s="1"/>
  <c r="I16" i="1" a="1"/>
  <c r="I16" i="1" s="1"/>
  <c r="H17" i="1" a="1"/>
  <c r="H17" i="1" s="1"/>
  <c r="I17" i="1" a="1"/>
  <c r="I17" i="1" s="1"/>
  <c r="H18" i="1" a="1"/>
  <c r="H18" i="1" s="1"/>
  <c r="I18" i="1" a="1"/>
  <c r="I18" i="1" s="1"/>
  <c r="H19" i="1" a="1"/>
  <c r="H19" i="1" s="1"/>
  <c r="I19" i="1" a="1"/>
  <c r="I19" i="1" s="1"/>
  <c r="H20" i="1" a="1"/>
  <c r="H20" i="1" s="1"/>
  <c r="I20" i="1" a="1"/>
  <c r="I20" i="1" s="1"/>
  <c r="H21" i="1" a="1"/>
  <c r="I21" i="1" a="1"/>
  <c r="G2" i="1" a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l="1"/>
  <c r="I21" i="1"/>
  <c r="H21" i="1"/>
  <c r="H2" i="1"/>
  <c r="I2" i="1"/>
  <c r="G2" i="1"/>
  <c r="F4" i="3" a="1"/>
  <c r="F4" i="3" s="1"/>
  <c r="G60" i="2"/>
  <c r="H60" i="2"/>
  <c r="I60" i="2"/>
  <c r="G21" i="2"/>
  <c r="H22" i="2"/>
  <c r="H23" i="2"/>
  <c r="H24" i="2"/>
  <c r="I25" i="2"/>
  <c r="I26" i="2"/>
  <c r="G28" i="2"/>
  <c r="I28" i="2"/>
  <c r="I30" i="2"/>
  <c r="G32" i="2"/>
  <c r="I36" i="2"/>
  <c r="H38" i="2"/>
  <c r="G40" i="2"/>
  <c r="I41" i="2"/>
  <c r="H43" i="2"/>
  <c r="I50" i="2"/>
  <c r="G53" i="2"/>
  <c r="H55" i="2"/>
  <c r="I32" i="2"/>
  <c r="G33" i="2"/>
  <c r="H33" i="2"/>
  <c r="I33" i="2"/>
  <c r="G34" i="2"/>
  <c r="H34" i="2"/>
  <c r="I34" i="2"/>
  <c r="G35" i="2"/>
  <c r="H35" i="2"/>
  <c r="G36" i="2"/>
  <c r="G38" i="2"/>
  <c r="I39" i="2"/>
  <c r="H41" i="2"/>
  <c r="I42" i="2"/>
  <c r="H49" i="2"/>
  <c r="I51" i="2"/>
  <c r="H54" i="2"/>
  <c r="H44" i="2"/>
  <c r="I44" i="2"/>
  <c r="G45" i="2"/>
  <c r="H45" i="2"/>
  <c r="I45" i="2"/>
  <c r="G46" i="2"/>
  <c r="H46" i="2"/>
  <c r="I46" i="2"/>
  <c r="G47" i="2"/>
  <c r="H47" i="2"/>
  <c r="I47" i="2"/>
  <c r="G48" i="2"/>
  <c r="H48" i="2"/>
  <c r="I48" i="2"/>
  <c r="G49" i="2"/>
  <c r="G50" i="2"/>
  <c r="I52" i="2"/>
  <c r="G55" i="2"/>
  <c r="I55" i="2"/>
  <c r="G56" i="2"/>
  <c r="H56" i="2"/>
  <c r="I56" i="2"/>
  <c r="G57" i="2"/>
  <c r="H57" i="2"/>
  <c r="I57" i="2"/>
  <c r="G58" i="2"/>
  <c r="H58" i="2"/>
  <c r="I58" i="2"/>
  <c r="G59" i="2"/>
  <c r="H59" i="2"/>
  <c r="I59" i="2"/>
  <c r="G42" i="2"/>
  <c r="G44" i="2"/>
  <c r="G51" i="2"/>
  <c r="H53" i="2"/>
  <c r="H21" i="2"/>
  <c r="G22" i="2"/>
  <c r="G23" i="2"/>
  <c r="G24" i="2"/>
  <c r="H25" i="2"/>
  <c r="H26" i="2"/>
  <c r="I27" i="2"/>
  <c r="H29" i="2"/>
  <c r="G30" i="2"/>
  <c r="H31" i="2"/>
  <c r="I35" i="2"/>
  <c r="H37" i="2"/>
  <c r="G39" i="2"/>
  <c r="I40" i="2"/>
  <c r="G43" i="2"/>
  <c r="H50" i="2"/>
  <c r="H52" i="2"/>
  <c r="I54" i="2"/>
  <c r="G25" i="2"/>
  <c r="H27" i="2"/>
  <c r="G29" i="2"/>
  <c r="H30" i="2"/>
  <c r="I31" i="2"/>
  <c r="H36" i="2"/>
  <c r="I37" i="2"/>
  <c r="H39" i="2"/>
  <c r="G41" i="2"/>
  <c r="H42" i="2"/>
  <c r="I49" i="2"/>
  <c r="G52" i="2"/>
  <c r="G54" i="2"/>
  <c r="I21" i="2"/>
  <c r="I22" i="2"/>
  <c r="I23" i="2"/>
  <c r="I24" i="2"/>
  <c r="G26" i="2"/>
  <c r="G27" i="2"/>
  <c r="H28" i="2"/>
  <c r="I29" i="2"/>
  <c r="G31" i="2"/>
  <c r="H32" i="2"/>
  <c r="G37" i="2"/>
  <c r="I38" i="2"/>
  <c r="H40" i="2"/>
  <c r="I43" i="2"/>
  <c r="H51" i="2"/>
  <c r="I53" i="2"/>
  <c r="A2" i="3" l="1" a="1"/>
  <c r="A2" i="3" s="1"/>
  <c r="F5" i="3" a="1"/>
  <c r="F5" i="3" s="1"/>
  <c r="F6" i="3" l="1" a="1"/>
  <c r="F6" i="3" s="1"/>
  <c r="F7" i="3" l="1" a="1"/>
  <c r="F7" i="3" s="1"/>
  <c r="F8" i="3" l="1" a="1"/>
  <c r="F8" i="3" s="1"/>
  <c r="F9" i="3" l="1" a="1"/>
  <c r="F9" i="3" s="1"/>
  <c r="F10" i="3" l="1" a="1"/>
  <c r="F10" i="3" s="1"/>
  <c r="F11" i="3" l="1" a="1"/>
  <c r="F11" i="3" s="1"/>
  <c r="F12" i="3" l="1" a="1"/>
  <c r="F12" i="3" s="1"/>
  <c r="F13" i="3" l="1" a="1"/>
  <c r="F13" i="3" s="1"/>
  <c r="F14" i="3" l="1" a="1"/>
  <c r="F14" i="3" s="1"/>
  <c r="F15" i="3" l="1" a="1"/>
  <c r="F15" i="3" s="1"/>
  <c r="F16" i="3" l="1" a="1"/>
  <c r="F16" i="3" s="1"/>
  <c r="F17" i="3" l="1" a="1"/>
  <c r="F17" i="3" s="1"/>
  <c r="F18" i="3" l="1" a="1"/>
  <c r="F18" i="3" s="1"/>
  <c r="F19" i="3" l="1" a="1"/>
  <c r="F19" i="3" s="1"/>
  <c r="F20" i="3" l="1" a="1"/>
  <c r="F20" i="3" s="1"/>
  <c r="F21" i="3" l="1" a="1"/>
  <c r="F21" i="3" s="1"/>
  <c r="F22" i="3" l="1" a="1"/>
  <c r="F22" i="3" s="1"/>
  <c r="F23" i="3" l="1" a="1"/>
  <c r="F23" i="3" s="1"/>
  <c r="F24" i="3" l="1" a="1"/>
  <c r="F24" i="3" s="1"/>
  <c r="F25" i="3" l="1" a="1"/>
  <c r="F25" i="3" s="1"/>
  <c r="F26" i="3" l="1" a="1"/>
  <c r="F26" i="3" s="1"/>
  <c r="F27" i="3" l="1" a="1"/>
  <c r="F27" i="3" s="1"/>
  <c r="F28" i="3" l="1" a="1"/>
  <c r="F28" i="3" s="1"/>
  <c r="F29" i="3" l="1" a="1"/>
  <c r="F29" i="3" s="1"/>
  <c r="F30" i="3" l="1" a="1"/>
  <c r="F30" i="3" s="1"/>
  <c r="F31" i="3" l="1" a="1"/>
  <c r="F31" i="3" s="1"/>
  <c r="F32" i="3" l="1" a="1"/>
  <c r="F32" i="3" s="1"/>
  <c r="F33" i="3" l="1" a="1"/>
  <c r="F33" i="3" s="1"/>
  <c r="F34" i="3" l="1" a="1"/>
  <c r="F34" i="3" s="1"/>
  <c r="F35" i="3" l="1" a="1"/>
  <c r="F35" i="3" s="1"/>
  <c r="F36" i="3" l="1" a="1"/>
  <c r="F36" i="3" s="1"/>
  <c r="F37" i="3" l="1" a="1"/>
  <c r="F37" i="3" s="1"/>
  <c r="F38" i="3" l="1" a="1"/>
  <c r="F38" i="3" s="1"/>
  <c r="F39" i="3" l="1" a="1"/>
  <c r="F39" i="3" s="1"/>
  <c r="F40" i="3" l="1" a="1"/>
  <c r="F40" i="3" s="1"/>
  <c r="F41" i="3" l="1" a="1"/>
  <c r="F41" i="3" s="1"/>
  <c r="F42" i="3" l="1" a="1"/>
  <c r="F42" i="3" s="1"/>
  <c r="F43" i="3" l="1" a="1"/>
  <c r="F43" i="3" s="1"/>
  <c r="F44" i="3" l="1" a="1"/>
  <c r="F44" i="3" s="1"/>
  <c r="F45" i="3" l="1" a="1"/>
  <c r="F45" i="3" s="1"/>
  <c r="F46" i="3" l="1" a="1"/>
  <c r="F46" i="3" s="1"/>
  <c r="F47" i="3" l="1" a="1"/>
  <c r="F47" i="3" s="1"/>
  <c r="F48" i="3" l="1" a="1"/>
  <c r="F48" i="3" s="1"/>
  <c r="F49" i="3" l="1" a="1"/>
  <c r="F49" i="3" s="1"/>
  <c r="F50" i="3" l="1" a="1"/>
  <c r="F50" i="3" s="1"/>
  <c r="F51" i="3" l="1" a="1"/>
  <c r="F51" i="3" s="1"/>
  <c r="F52" i="3" l="1" a="1"/>
  <c r="F52" i="3" s="1"/>
  <c r="F53" i="3" l="1" a="1"/>
  <c r="F53" i="3" s="1"/>
  <c r="F54" i="3" l="1" a="1"/>
  <c r="F54" i="3" s="1"/>
  <c r="F55" i="3" l="1" a="1"/>
  <c r="F55" i="3" s="1"/>
  <c r="F56" i="3" l="1" a="1"/>
  <c r="F56" i="3" s="1"/>
  <c r="F57" i="3" l="1" a="1"/>
  <c r="F57" i="3" s="1"/>
  <c r="F58" i="3" l="1" a="1"/>
  <c r="F58" i="3" s="1"/>
  <c r="F59" i="3" l="1" a="1"/>
  <c r="F59" i="3" s="1"/>
  <c r="F60" i="3" l="1" a="1"/>
  <c r="F60" i="3" s="1"/>
  <c r="F61" i="3" l="1" a="1"/>
  <c r="F61" i="3" s="1"/>
  <c r="F62" i="3" l="1" a="1"/>
  <c r="F62" i="3" s="1"/>
  <c r="F63" i="3" l="1" a="1"/>
  <c r="F63" i="3" s="1"/>
  <c r="F64" i="3" l="1" a="1"/>
  <c r="F64" i="3" s="1"/>
  <c r="F65" i="3" l="1" a="1"/>
  <c r="F65" i="3" s="1"/>
  <c r="F66" i="3" l="1" a="1"/>
  <c r="F66" i="3" s="1"/>
  <c r="F67" i="3" l="1" a="1"/>
  <c r="F67" i="3" s="1"/>
  <c r="F68" i="3" l="1" a="1"/>
  <c r="F68" i="3" s="1"/>
  <c r="F69" i="3" l="1" a="1"/>
  <c r="F69" i="3" s="1"/>
  <c r="F70" i="3" l="1" a="1"/>
  <c r="F70" i="3" s="1"/>
  <c r="F71" i="3" l="1" a="1"/>
  <c r="F71" i="3" s="1"/>
  <c r="F72" i="3" l="1" a="1"/>
  <c r="F72" i="3" s="1"/>
  <c r="F73" i="3" l="1" a="1"/>
  <c r="F73" i="3" s="1"/>
  <c r="F74" i="3" l="1" a="1"/>
  <c r="F74" i="3" s="1"/>
  <c r="F75" i="3" l="1" a="1"/>
  <c r="F75" i="3" s="1"/>
  <c r="F76" i="3" l="1" a="1"/>
  <c r="F76" i="3" s="1"/>
  <c r="F77" i="3" l="1" a="1"/>
  <c r="F77" i="3" s="1"/>
  <c r="F78" i="3" l="1" a="1"/>
  <c r="F78" i="3" s="1"/>
  <c r="F79" i="3" l="1" a="1"/>
  <c r="F79" i="3" s="1"/>
  <c r="F80" i="3" a="1"/>
  <c r="F80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<sst xmlns="http://schemas.openxmlformats.org/spreadsheetml/2006/main" count="19" uniqueCount="6">
  <si>
    <t>X</t>
  </si>
  <si>
    <t>Y</t>
  </si>
  <si>
    <t>Z</t>
  </si>
  <si>
    <t>Idx</t>
  </si>
  <si>
    <t>Leopard_seal_combined_basecurve_20landmarks_unsorted</t>
  </si>
  <si>
    <t>Leopard_seal_combined_archcurve_20landmarks_unsorted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</si>
</sst>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i/>
      <sz val="11"/>
      <color theme="1"/>
      <name val="Calibri"/>
      <family val="2"/>
    </font>
    <font>
      <b/>
      <i/>
      <sz val="11"/>
      <color indexed="8"/>
      <name val="Calibri"/>
      <family val="2"/>
    </font>
  </fonts>
  <fills count="8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4901"/>
        <bgColor indexed="64"/>
      </patternFill>
    </fill>
    <fill>
      <patternFill patternType="solid">
        <fgColor rgb="FFFF9601"/>
        <bgColor indexed="64"/>
      </patternFill>
    </fill>
    <fill>
      <patternFill patternType="solid">
        <fgColor rgb="FF01B4FF"/>
        <bgColor indexed="64"/>
      </patternFill>
    </fill>
    <fill>
      <patternFill patternType="solid">
        <fgColor rgb="FF01FFC0"/>
        <bgColor indexed="64"/>
      </patternFill>
    </fill>
    <fill>
      <patternFill patternType="solid">
        <fgColor rgb="FF01F0FF"/>
        <bgColor indexed="64"/>
      </patternFill>
    </fill>
    <fill>
      <patternFill patternType="solid">
        <fgColor rgb="FFFF3D01"/>
        <bgColor indexed="64"/>
      </patternFill>
    </fill>
    <fill>
      <patternFill patternType="solid">
        <fgColor rgb="FFFF7901"/>
        <bgColor indexed="64"/>
      </patternFill>
    </fill>
    <fill>
      <patternFill patternType="solid">
        <fgColor rgb="FFFFB401"/>
        <bgColor indexed="64"/>
      </patternFill>
    </fill>
    <fill>
      <patternFill patternType="solid">
        <fgColor rgb="FFFFF001"/>
        <bgColor indexed="64"/>
      </patternFill>
    </fill>
    <fill>
      <patternFill patternType="solid">
        <fgColor rgb="FFD2FF01"/>
        <bgColor indexed="64"/>
      </patternFill>
    </fill>
    <fill>
      <patternFill patternType="solid">
        <fgColor rgb="FF96FF01"/>
        <bgColor indexed="64"/>
      </patternFill>
    </fill>
    <fill>
      <patternFill patternType="solid">
        <fgColor rgb="FF5BFF01"/>
        <bgColor indexed="64"/>
      </patternFill>
    </fill>
    <fill>
      <patternFill patternType="solid">
        <fgColor rgb="FF1FFF01"/>
        <bgColor indexed="64"/>
      </patternFill>
    </fill>
    <fill>
      <patternFill patternType="solid">
        <fgColor rgb="FF01FF1F"/>
        <bgColor indexed="64"/>
      </patternFill>
    </fill>
    <fill>
      <patternFill patternType="solid">
        <fgColor rgb="FF01FF5B"/>
        <bgColor indexed="64"/>
      </patternFill>
    </fill>
    <fill>
      <patternFill patternType="solid">
        <fgColor rgb="FF01FF96"/>
        <bgColor indexed="64"/>
      </patternFill>
    </fill>
    <fill>
      <patternFill patternType="solid">
        <fgColor rgb="FF01FFD2"/>
        <bgColor indexed="64"/>
      </patternFill>
    </fill>
    <fill>
      <patternFill patternType="solid">
        <fgColor rgb="FF0179FF"/>
        <bgColor indexed="64"/>
      </patternFill>
    </fill>
    <fill>
      <patternFill patternType="solid">
        <fgColor rgb="FF013DFF"/>
        <bgColor indexed="64"/>
      </patternFill>
    </fill>
    <fill>
      <patternFill patternType="solid">
        <fgColor rgb="FF0101FF"/>
        <bgColor indexed="64"/>
      </patternFill>
    </fill>
    <fill>
      <patternFill patternType="solid">
        <fgColor rgb="FF3D01FF"/>
        <bgColor indexed="64"/>
      </patternFill>
    </fill>
    <fill>
      <patternFill patternType="solid">
        <fgColor rgb="FF7901FF"/>
        <bgColor indexed="64"/>
      </patternFill>
    </fill>
    <fill>
      <patternFill patternType="solid">
        <fgColor rgb="FFFFDE01"/>
        <bgColor indexed="64"/>
      </patternFill>
    </fill>
    <fill>
      <patternFill patternType="solid">
        <fgColor rgb="FFB4FF01"/>
        <bgColor indexed="64"/>
      </patternFill>
    </fill>
    <fill>
      <patternFill patternType="solid">
        <fgColor rgb="FF8AFF01"/>
        <bgColor indexed="64"/>
      </patternFill>
    </fill>
    <fill>
      <patternFill patternType="solid">
        <fgColor rgb="FF01FF2B"/>
        <bgColor indexed="64"/>
      </patternFill>
    </fill>
    <fill>
      <patternFill patternType="solid">
        <fgColor rgb="FF01FF79"/>
        <bgColor indexed="64"/>
      </patternFill>
    </fill>
    <fill>
      <patternFill patternType="solid">
        <fgColor rgb="FF01D2FF"/>
        <bgColor indexed="64"/>
      </patternFill>
    </fill>
    <fill>
      <patternFill patternType="solid">
        <fgColor rgb="FF01A8FF"/>
        <bgColor indexed="64"/>
      </patternFill>
    </fill>
    <fill>
      <patternFill patternType="solid">
        <fgColor rgb="FF0D01FF"/>
        <bgColor indexed="64"/>
      </patternFill>
    </fill>
    <fill>
      <patternFill patternType="solid">
        <fgColor rgb="FF5B01FF"/>
        <bgColor indexed="64"/>
      </patternFill>
    </fill>
    <fill>
      <patternFill patternType="solid">
        <fgColor rgb="FFFF0D01"/>
        <bgColor indexed="64"/>
      </patternFill>
    </fill>
    <fill>
      <patternFill patternType="solid">
        <fgColor rgb="FFFF1F01"/>
        <bgColor indexed="64"/>
      </patternFill>
    </fill>
    <fill>
      <patternFill patternType="solid">
        <fgColor rgb="FFFF2B01"/>
        <bgColor indexed="64"/>
      </patternFill>
    </fill>
    <fill>
      <patternFill patternType="solid">
        <fgColor rgb="FFFF5B01"/>
        <bgColor indexed="64"/>
      </patternFill>
    </fill>
    <fill>
      <patternFill patternType="solid">
        <fgColor rgb="FFFF6701"/>
        <bgColor indexed="64"/>
      </patternFill>
    </fill>
    <fill>
      <patternFill patternType="solid">
        <fgColor rgb="FFFF8401"/>
        <bgColor indexed="64"/>
      </patternFill>
    </fill>
    <fill>
      <patternFill patternType="solid">
        <fgColor rgb="FFFFA201"/>
        <bgColor indexed="64"/>
      </patternFill>
    </fill>
    <fill>
      <patternFill patternType="solid">
        <fgColor rgb="FFFFC001"/>
        <bgColor indexed="64"/>
      </patternFill>
    </fill>
    <fill>
      <patternFill patternType="solid">
        <fgColor rgb="FFFFD201"/>
        <bgColor indexed="64"/>
      </patternFill>
    </fill>
    <fill>
      <patternFill patternType="solid">
        <fgColor rgb="FFFFFC01"/>
        <bgColor indexed="64"/>
      </patternFill>
    </fill>
    <fill>
      <patternFill patternType="solid">
        <fgColor rgb="FFF0FF01"/>
        <bgColor indexed="64"/>
      </patternFill>
    </fill>
    <fill>
      <patternFill patternType="solid">
        <fgColor rgb="FFE4FF01"/>
        <bgColor indexed="64"/>
      </patternFill>
    </fill>
    <fill>
      <patternFill patternType="solid">
        <fgColor rgb="FFC6FF01"/>
        <bgColor indexed="64"/>
      </patternFill>
    </fill>
    <fill>
      <patternFill patternType="solid">
        <fgColor rgb="FFA8FF01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6DFF01"/>
        <bgColor indexed="64"/>
      </patternFill>
    </fill>
    <fill>
      <patternFill patternType="solid">
        <fgColor rgb="FF4FFF01"/>
        <bgColor indexed="64"/>
      </patternFill>
    </fill>
    <fill>
      <patternFill patternType="solid">
        <fgColor rgb="FF3DFF01"/>
        <bgColor indexed="64"/>
      </patternFill>
    </fill>
    <fill>
      <patternFill patternType="solid">
        <fgColor rgb="FF31FF01"/>
        <bgColor indexed="64"/>
      </patternFill>
    </fill>
    <fill>
      <patternFill patternType="solid">
        <fgColor rgb="FF13FF01"/>
        <bgColor indexed="64"/>
      </patternFill>
    </fill>
    <fill>
      <patternFill patternType="solid">
        <fgColor rgb="FF01FF01"/>
        <bgColor indexed="64"/>
      </patternFill>
    </fill>
    <fill>
      <patternFill patternType="solid">
        <fgColor rgb="FF01FF0D"/>
        <bgColor indexed="64"/>
      </patternFill>
    </fill>
    <fill>
      <patternFill patternType="solid">
        <fgColor rgb="FF01FF3D"/>
        <bgColor indexed="64"/>
      </patternFill>
    </fill>
    <fill>
      <patternFill patternType="solid">
        <fgColor rgb="FF01FF49"/>
        <bgColor indexed="64"/>
      </patternFill>
    </fill>
    <fill>
      <patternFill patternType="solid">
        <fgColor rgb="FF01FF67"/>
        <bgColor indexed="64"/>
      </patternFill>
    </fill>
    <fill>
      <patternFill patternType="solid">
        <fgColor rgb="FF01FF84"/>
        <bgColor indexed="64"/>
      </patternFill>
    </fill>
    <fill>
      <patternFill patternType="solid">
        <fgColor rgb="FF01FFA2"/>
        <bgColor indexed="64"/>
      </patternFill>
    </fill>
    <fill>
      <patternFill patternType="solid">
        <fgColor rgb="FF01FFB4"/>
        <bgColor indexed="64"/>
      </patternFill>
    </fill>
    <fill>
      <patternFill patternType="solid">
        <fgColor rgb="FF01FFDE"/>
        <bgColor indexed="64"/>
      </patternFill>
    </fill>
    <fill>
      <patternFill patternType="solid">
        <fgColor rgb="FF01FFF0"/>
        <bgColor indexed="64"/>
      </patternFill>
    </fill>
    <fill>
      <patternFill patternType="solid">
        <fgColor rgb="FF01FFFC"/>
        <bgColor indexed="64"/>
      </patternFill>
    </fill>
    <fill>
      <patternFill patternType="solid">
        <fgColor rgb="FF01E4FF"/>
        <bgColor indexed="64"/>
      </patternFill>
    </fill>
    <fill>
      <patternFill patternType="solid">
        <fgColor rgb="FF01C6FF"/>
        <bgColor indexed="64"/>
      </patternFill>
    </fill>
    <fill>
      <patternFill patternType="solid">
        <fgColor rgb="FF0196FF"/>
        <bgColor indexed="64"/>
      </patternFill>
    </fill>
    <fill>
      <patternFill patternType="solid">
        <fgColor rgb="FF018AFF"/>
        <bgColor indexed="64"/>
      </patternFill>
    </fill>
    <fill>
      <patternFill patternType="solid">
        <fgColor rgb="FF016DFF"/>
        <bgColor indexed="64"/>
      </patternFill>
    </fill>
    <fill>
      <patternFill patternType="solid">
        <fgColor rgb="FF015BFF"/>
        <bgColor indexed="64"/>
      </patternFill>
    </fill>
    <fill>
      <patternFill patternType="solid">
        <fgColor rgb="FF014FFF"/>
        <bgColor indexed="64"/>
      </patternFill>
    </fill>
    <fill>
      <patternFill patternType="solid">
        <fgColor rgb="FF0131FF"/>
        <bgColor indexed="64"/>
      </patternFill>
    </fill>
    <fill>
      <patternFill patternType="solid">
        <fgColor rgb="FF011FFF"/>
        <bgColor indexed="64"/>
      </patternFill>
    </fill>
    <fill>
      <patternFill patternType="solid">
        <fgColor rgb="FF0113FF"/>
        <bgColor indexed="64"/>
      </patternFill>
    </fill>
    <fill>
      <patternFill patternType="solid">
        <fgColor rgb="FF1F01FF"/>
        <bgColor indexed="64"/>
      </patternFill>
    </fill>
    <fill>
      <patternFill patternType="solid">
        <fgColor rgb="FF2B01FF"/>
        <bgColor indexed="64"/>
      </patternFill>
    </fill>
    <fill>
      <patternFill patternType="solid">
        <fgColor rgb="FF4901FF"/>
        <bgColor indexed="64"/>
      </patternFill>
    </fill>
    <fill>
      <patternFill patternType="solid">
        <fgColor rgb="FF6701FF"/>
        <bgColor indexed="64"/>
      </patternFill>
    </fill>
    <fill>
      <patternFill patternType="solid">
        <fgColor rgb="FF8401FF"/>
        <bgColor indexed="64"/>
      </patternFill>
    </fill>
    <fill>
      <patternFill patternType="solid">
        <fgColor rgb="FF9601FF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2" fillId="0" borderId="0" xfId="0" applyFont="1" applyAlignment="1">
      <alignment horizontal="center"/>
    </xf>
    <xf numFmtId="0" fontId="3" fillId="82" borderId="0" xfId="0" applyFont="1" applyFill="1"/>
    <xf numFmtId="0" fontId="4" fillId="82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FF01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77-4C94-A359-F5F0F12AA60A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B77-4C94-A359-F5F0F12AA60A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B77-4C94-A359-F5F0F12AA60A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B77-4C94-A359-F5F0F12AA60A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8B77-4C94-A359-F5F0F12AA60A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B77-4C94-A359-F5F0F12AA60A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B77-4C94-A359-F5F0F12AA60A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B77-4C94-A359-F5F0F12AA60A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8B77-4C94-A359-F5F0F12AA60A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8B77-4C94-A359-F5F0F12AA60A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8B77-4C94-A359-F5F0F12AA60A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8B77-4C94-A359-F5F0F12AA60A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8B77-4C94-A359-F5F0F12AA60A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8B77-4C94-A359-F5F0F12AA60A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8B77-4C94-A359-F5F0F12AA60A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8B77-4C94-A359-F5F0F12AA60A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8B77-4C94-A359-F5F0F12AA60A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8B77-4C94-A359-F5F0F12AA60A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8B77-4C94-A359-F5F0F12AA60A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8B77-4C94-A359-F5F0F12AA60A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-2.0273180704274529</c:v>
                </c:pt>
                <c:pt idx="1">
                  <c:v>-3.0445845459140903</c:v>
                </c:pt>
                <c:pt idx="2">
                  <c:v>-4.1759537164998557</c:v>
                </c:pt>
                <c:pt idx="3">
                  <c:v>-5.3575350458868023</c:v>
                </c:pt>
                <c:pt idx="4">
                  <c:v>-4.4761566816088907</c:v>
                </c:pt>
                <c:pt idx="5">
                  <c:v>-3.1934595263646957</c:v>
                </c:pt>
                <c:pt idx="6">
                  <c:v>-2.4433544876350899</c:v>
                </c:pt>
                <c:pt idx="7">
                  <c:v>-1.5495274844921965</c:v>
                </c:pt>
                <c:pt idx="8">
                  <c:v>-0.21071805858149539</c:v>
                </c:pt>
                <c:pt idx="9">
                  <c:v>1.861040742714287</c:v>
                </c:pt>
                <c:pt idx="10">
                  <c:v>3.2984823058920778</c:v>
                </c:pt>
                <c:pt idx="11">
                  <c:v>4.4605449699774606</c:v>
                </c:pt>
                <c:pt idx="12">
                  <c:v>5.0162838033523709</c:v>
                </c:pt>
                <c:pt idx="13">
                  <c:v>4.9390727103266272</c:v>
                </c:pt>
                <c:pt idx="14">
                  <c:v>4.4454009617664454</c:v>
                </c:pt>
                <c:pt idx="15">
                  <c:v>3.9378875164849321</c:v>
                </c:pt>
                <c:pt idx="16">
                  <c:v>3.049543944726826</c:v>
                </c:pt>
                <c:pt idx="17">
                  <c:v>2.4846780080020117</c:v>
                </c:pt>
                <c:pt idx="18">
                  <c:v>1.8388751363739979</c:v>
                </c:pt>
                <c:pt idx="19">
                  <c:v>8.0684060230850002E-4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9.7449269121728932</c:v>
                </c:pt>
                <c:pt idx="1">
                  <c:v>7.566770567853081</c:v>
                </c:pt>
                <c:pt idx="2">
                  <c:v>5.6932554952362704</c:v>
                </c:pt>
                <c:pt idx="3">
                  <c:v>3.390133439662149</c:v>
                </c:pt>
                <c:pt idx="4">
                  <c:v>0.85954101291214036</c:v>
                </c:pt>
                <c:pt idx="5">
                  <c:v>-1.6188070562381975</c:v>
                </c:pt>
                <c:pt idx="6">
                  <c:v>-3.8713701155560032</c:v>
                </c:pt>
                <c:pt idx="7">
                  <c:v>-6.1195572357704711</c:v>
                </c:pt>
                <c:pt idx="8">
                  <c:v>-7.6662562855741747</c:v>
                </c:pt>
                <c:pt idx="9">
                  <c:v>-7.5960610217403408</c:v>
                </c:pt>
                <c:pt idx="10">
                  <c:v>-5.9426728599505028</c:v>
                </c:pt>
                <c:pt idx="11">
                  <c:v>-4.4863774009376103</c:v>
                </c:pt>
                <c:pt idx="12">
                  <c:v>-2.7308909706937716</c:v>
                </c:pt>
                <c:pt idx="13">
                  <c:v>-0.75211663094423353</c:v>
                </c:pt>
                <c:pt idx="14">
                  <c:v>1.2489866307115891</c:v>
                </c:pt>
                <c:pt idx="15">
                  <c:v>2.9536625957445652</c:v>
                </c:pt>
                <c:pt idx="16">
                  <c:v>5.3041080272148378</c:v>
                </c:pt>
                <c:pt idx="17">
                  <c:v>7.37169282110382</c:v>
                </c:pt>
                <c:pt idx="18">
                  <c:v>9.4901356499565885</c:v>
                </c:pt>
                <c:pt idx="19">
                  <c:v>10.834717750549316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Arch!$G$2:$G$60</c:f>
              <c:numCache>
                <c:formatCode>General</c:formatCode>
                <c:ptCount val="59"/>
                <c:pt idx="0">
                  <c:v>-2.1190410532187999E-3</c:v>
                </c:pt>
                <c:pt idx="1">
                  <c:v>-8.9466557636820002E-4</c:v>
                </c:pt>
                <c:pt idx="2">
                  <c:v>-6.3846360167714002E-3</c:v>
                </c:pt>
                <c:pt idx="3">
                  <c:v>-7.5726541711680195E-2</c:v>
                </c:pt>
                <c:pt idx="4">
                  <c:v>-0.16516508388127499</c:v>
                </c:pt>
                <c:pt idx="5">
                  <c:v>-0.30389824637419022</c:v>
                </c:pt>
                <c:pt idx="6">
                  <c:v>-0.40857309881883819</c:v>
                </c:pt>
                <c:pt idx="7">
                  <c:v>-0.49250426785481549</c:v>
                </c:pt>
                <c:pt idx="8">
                  <c:v>-0.51861893647741508</c:v>
                </c:pt>
                <c:pt idx="9">
                  <c:v>-0.46910836370970338</c:v>
                </c:pt>
                <c:pt idx="10">
                  <c:v>-0.35873172321311703</c:v>
                </c:pt>
                <c:pt idx="11">
                  <c:v>-0.53406935388788801</c:v>
                </c:pt>
                <c:pt idx="12">
                  <c:v>-0.70186481021612268</c:v>
                </c:pt>
                <c:pt idx="13">
                  <c:v>-0.8726996193600236</c:v>
                </c:pt>
                <c:pt idx="14">
                  <c:v>-1.262023963885585</c:v>
                </c:pt>
                <c:pt idx="15">
                  <c:v>-1.4370666829921102</c:v>
                </c:pt>
                <c:pt idx="16">
                  <c:v>-1.5063662301244154</c:v>
                </c:pt>
                <c:pt idx="17">
                  <c:v>-1.6134055638939433</c:v>
                </c:pt>
                <c:pt idx="18">
                  <c:v>-1.7561081503006286</c:v>
                </c:pt>
                <c:pt idx="19">
                  <c:v>-1.9147378704007429</c:v>
                </c:pt>
                <c:pt idx="20">
                  <c:v>-1.8909601401172342</c:v>
                </c:pt>
                <c:pt idx="21">
                  <c:v>-1.8400731412421871</c:v>
                </c:pt>
                <c:pt idx="22">
                  <c:v>-1.7984440433705331</c:v>
                </c:pt>
                <c:pt idx="23">
                  <c:v>-1.7298813083826874</c:v>
                </c:pt>
                <c:pt idx="24">
                  <c:v>-1.4924952603624471</c:v>
                </c:pt>
                <c:pt idx="25">
                  <c:v>-1.2268235900950013</c:v>
                </c:pt>
                <c:pt idx="26">
                  <c:v>-0.96994835532398449</c:v>
                </c:pt>
                <c:pt idx="27">
                  <c:v>-0.72879489947174136</c:v>
                </c:pt>
                <c:pt idx="28">
                  <c:v>-0.49243831913507091</c:v>
                </c:pt>
                <c:pt idx="29">
                  <c:v>0.1296215355396271</c:v>
                </c:pt>
                <c:pt idx="30">
                  <c:v>0.37652726687463989</c:v>
                </c:pt>
                <c:pt idx="31">
                  <c:v>0.40612068877443519</c:v>
                </c:pt>
                <c:pt idx="32">
                  <c:v>0.36186430308532391</c:v>
                </c:pt>
                <c:pt idx="33">
                  <c:v>0.3405232726769587</c:v>
                </c:pt>
                <c:pt idx="34">
                  <c:v>0.40265226383934821</c:v>
                </c:pt>
                <c:pt idx="35">
                  <c:v>0.377903956655814</c:v>
                </c:pt>
                <c:pt idx="36">
                  <c:v>0.294970492045388</c:v>
                </c:pt>
                <c:pt idx="37">
                  <c:v>0.1370405451093204</c:v>
                </c:pt>
                <c:pt idx="38">
                  <c:v>9.8485881534955994E-2</c:v>
                </c:pt>
                <c:pt idx="39">
                  <c:v>5.4586355366224E-3</c:v>
                </c:pt>
                <c:pt idx="40">
                  <c:v>2.6167736940643799E-2</c:v>
                </c:pt>
                <c:pt idx="41">
                  <c:v>0.15581117074215611</c:v>
                </c:pt>
                <c:pt idx="42">
                  <c:v>0.36188979562057472</c:v>
                </c:pt>
                <c:pt idx="43">
                  <c:v>0.94863499544245389</c:v>
                </c:pt>
                <c:pt idx="44">
                  <c:v>1.1777667483877401</c:v>
                </c:pt>
                <c:pt idx="45">
                  <c:v>0.98999898884209003</c:v>
                </c:pt>
                <c:pt idx="46">
                  <c:v>0.6135891998290659</c:v>
                </c:pt>
                <c:pt idx="47">
                  <c:v>0.30163288449920911</c:v>
                </c:pt>
                <c:pt idx="48">
                  <c:v>0.38401372514896659</c:v>
                </c:pt>
                <c:pt idx="49">
                  <c:v>0.53803139296501845</c:v>
                </c:pt>
                <c:pt idx="50">
                  <c:v>0.67843102527060584</c:v>
                </c:pt>
                <c:pt idx="51">
                  <c:v>0.84775550409915013</c:v>
                </c:pt>
                <c:pt idx="52">
                  <c:v>0.97490882861232619</c:v>
                </c:pt>
                <c:pt idx="53">
                  <c:v>1.0684275359797368</c:v>
                </c:pt>
                <c:pt idx="54">
                  <c:v>1.1482784663834416</c:v>
                </c:pt>
                <c:pt idx="55">
                  <c:v>1.2325752278161364</c:v>
                </c:pt>
                <c:pt idx="56">
                  <c:v>1.3389888360076625</c:v>
                </c:pt>
                <c:pt idx="57">
                  <c:v>1.4409294991424801</c:v>
                </c:pt>
                <c:pt idx="58">
                  <c:v>1.5649129716649255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10.779005970932054</c:v>
                </c:pt>
                <c:pt idx="1">
                  <c:v>10.543247015723965</c:v>
                </c:pt>
                <c:pt idx="2">
                  <c:v>10.210066670320158</c:v>
                </c:pt>
                <c:pt idx="3">
                  <c:v>9.7982654174915957</c:v>
                </c:pt>
                <c:pt idx="4">
                  <c:v>9.2966299275292101</c:v>
                </c:pt>
                <c:pt idx="5">
                  <c:v>8.6460297151156613</c:v>
                </c:pt>
                <c:pt idx="6">
                  <c:v>7.8437019695972081</c:v>
                </c:pt>
                <c:pt idx="7">
                  <c:v>6.9365276332856869</c:v>
                </c:pt>
                <c:pt idx="8">
                  <c:v>6.5670039748351119</c:v>
                </c:pt>
                <c:pt idx="9">
                  <c:v>6.8232370511784382</c:v>
                </c:pt>
                <c:pt idx="10">
                  <c:v>7.0396332021519576</c:v>
                </c:pt>
                <c:pt idx="11">
                  <c:v>6.9201975356587404</c:v>
                </c:pt>
                <c:pt idx="12">
                  <c:v>6.390883731885495</c:v>
                </c:pt>
                <c:pt idx="13">
                  <c:v>5.7938229381995132</c:v>
                </c:pt>
                <c:pt idx="14">
                  <c:v>5.6550650258783568</c:v>
                </c:pt>
                <c:pt idx="15">
                  <c:v>5.5306277872036604</c:v>
                </c:pt>
                <c:pt idx="16">
                  <c:v>5.4504066115769838</c:v>
                </c:pt>
                <c:pt idx="17">
                  <c:v>5.2764577329115623</c:v>
                </c:pt>
                <c:pt idx="18">
                  <c:v>5.0383344849149658</c:v>
                </c:pt>
                <c:pt idx="19">
                  <c:v>4.7614014586610773</c:v>
                </c:pt>
                <c:pt idx="20">
                  <c:v>4.3570652367770251</c:v>
                </c:pt>
                <c:pt idx="21">
                  <c:v>3.8688298497377835</c:v>
                </c:pt>
                <c:pt idx="22">
                  <c:v>3.3603125049201319</c:v>
                </c:pt>
                <c:pt idx="23">
                  <c:v>2.7961515076456731</c:v>
                </c:pt>
                <c:pt idx="24">
                  <c:v>2.2241073431312297</c:v>
                </c:pt>
                <c:pt idx="25">
                  <c:v>1.6211421331405327</c:v>
                </c:pt>
                <c:pt idx="26">
                  <c:v>0.98094615593681256</c:v>
                </c:pt>
                <c:pt idx="27">
                  <c:v>0.3103706297419504</c:v>
                </c:pt>
                <c:pt idx="28">
                  <c:v>-0.46195418727029652</c:v>
                </c:pt>
                <c:pt idx="29">
                  <c:v>-1.1288367509841919</c:v>
                </c:pt>
                <c:pt idx="30">
                  <c:v>-1.8131296434348443</c:v>
                </c:pt>
                <c:pt idx="31">
                  <c:v>-2.0041632537473633</c:v>
                </c:pt>
                <c:pt idx="32">
                  <c:v>-2.0269331962029971</c:v>
                </c:pt>
                <c:pt idx="33">
                  <c:v>-1.9664721973279191</c:v>
                </c:pt>
                <c:pt idx="34">
                  <c:v>-1.8317666506702586</c:v>
                </c:pt>
                <c:pt idx="35">
                  <c:v>-1.6120193086353578</c:v>
                </c:pt>
                <c:pt idx="36">
                  <c:v>-1.3755549955431188</c:v>
                </c:pt>
                <c:pt idx="37">
                  <c:v>-1.1221801424142552</c:v>
                </c:pt>
                <c:pt idx="38">
                  <c:v>-1.1210776994477354</c:v>
                </c:pt>
                <c:pt idx="39">
                  <c:v>-1.1004088138923058</c:v>
                </c:pt>
                <c:pt idx="40">
                  <c:v>-1.1442955588058081</c:v>
                </c:pt>
                <c:pt idx="41">
                  <c:v>-1.3940287606801065</c:v>
                </c:pt>
                <c:pt idx="42">
                  <c:v>-1.6987607121011763</c:v>
                </c:pt>
                <c:pt idx="43">
                  <c:v>-2.2561085947856223</c:v>
                </c:pt>
                <c:pt idx="44">
                  <c:v>-2.5408011081346529</c:v>
                </c:pt>
                <c:pt idx="45">
                  <c:v>-2.6926649522664832</c:v>
                </c:pt>
                <c:pt idx="46">
                  <c:v>-2.8462977298285042</c:v>
                </c:pt>
                <c:pt idx="47">
                  <c:v>-2.9187564901775853</c:v>
                </c:pt>
                <c:pt idx="48">
                  <c:v>-2.8739650900740936</c:v>
                </c:pt>
                <c:pt idx="49">
                  <c:v>-3.2555416248080227</c:v>
                </c:pt>
                <c:pt idx="50">
                  <c:v>-4.1085110651871535</c:v>
                </c:pt>
                <c:pt idx="51">
                  <c:v>-4.786169219732149</c:v>
                </c:pt>
                <c:pt idx="52">
                  <c:v>-5.3221025084352007</c:v>
                </c:pt>
                <c:pt idx="53">
                  <c:v>-5.7637798352172513</c:v>
                </c:pt>
                <c:pt idx="54">
                  <c:v>-6.0802997591934096</c:v>
                </c:pt>
                <c:pt idx="55">
                  <c:v>-6.3299690581533223</c:v>
                </c:pt>
                <c:pt idx="56">
                  <c:v>-6.4951646993781837</c:v>
                </c:pt>
                <c:pt idx="57">
                  <c:v>-6.689811879366717</c:v>
                </c:pt>
                <c:pt idx="58">
                  <c:v>-7.0323059273650781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B77-4C94-A359-F5F0F12AA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B92-43EF-8B00-39A7781006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B92-43EF-8B00-39A7781006B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B92-43EF-8B00-39A7781006B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B92-43EF-8B00-39A7781006B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B92-43EF-8B00-39A7781006B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B92-43EF-8B00-39A7781006B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B92-43EF-8B00-39A7781006B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B92-43EF-8B00-39A7781006B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5B92-43EF-8B00-39A7781006B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5B92-43EF-8B00-39A7781006B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B92-43EF-8B00-39A7781006B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B92-43EF-8B00-39A7781006B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5B92-43EF-8B00-39A7781006B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5B92-43EF-8B00-39A7781006B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5B92-43EF-8B00-39A7781006B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5B92-43EF-8B00-39A7781006B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5B92-43EF-8B00-39A7781006B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5B92-43EF-8B00-39A7781006B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5B92-43EF-8B00-39A7781006B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B92-43EF-8B00-39A7781006B6}"/>
              </c:ext>
            </c:extLst>
          </c:dPt>
          <c:xVal>
            <c:numRef>
              <c:f>Base!$I$2:$I$21</c:f>
              <c:numCache>
                <c:formatCode>General</c:formatCode>
                <c:ptCount val="20"/>
                <c:pt idx="0">
                  <c:v>-3.9125374805084308</c:v>
                </c:pt>
                <c:pt idx="1">
                  <c:v>-3.7181208981761369</c:v>
                </c:pt>
                <c:pt idx="2">
                  <c:v>-3.3724249995059421</c:v>
                </c:pt>
                <c:pt idx="3">
                  <c:v>-3.1515338713328247</c:v>
                </c:pt>
                <c:pt idx="4">
                  <c:v>-3.0108829995802058</c:v>
                </c:pt>
                <c:pt idx="5">
                  <c:v>-3.6442313290212587</c:v>
                </c:pt>
                <c:pt idx="6">
                  <c:v>-4.3670857533724705</c:v>
                </c:pt>
                <c:pt idx="7">
                  <c:v>-4.5773917036174225</c:v>
                </c:pt>
                <c:pt idx="8">
                  <c:v>-4.5876961271733219</c:v>
                </c:pt>
                <c:pt idx="9">
                  <c:v>-4.2303579115207368</c:v>
                </c:pt>
                <c:pt idx="10">
                  <c:v>-3.9454394600590197</c:v>
                </c:pt>
                <c:pt idx="11">
                  <c:v>-4.3535236653077476</c:v>
                </c:pt>
                <c:pt idx="12">
                  <c:v>-3.5853896339435787</c:v>
                </c:pt>
                <c:pt idx="13">
                  <c:v>-2.749149295228932</c:v>
                </c:pt>
                <c:pt idx="14">
                  <c:v>-2.7727444410369606</c:v>
                </c:pt>
                <c:pt idx="15">
                  <c:v>-2.8238556612138215</c:v>
                </c:pt>
                <c:pt idx="16">
                  <c:v>-2.9828861413719134</c:v>
                </c:pt>
                <c:pt idx="17">
                  <c:v>-3.38022905838177</c:v>
                </c:pt>
                <c:pt idx="18">
                  <c:v>-3.6261950619646335</c:v>
                </c:pt>
                <c:pt idx="19">
                  <c:v>-3.8408215045928955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9.7449269121728932</c:v>
                </c:pt>
                <c:pt idx="1">
                  <c:v>7.566770567853081</c:v>
                </c:pt>
                <c:pt idx="2">
                  <c:v>5.6932554952362704</c:v>
                </c:pt>
                <c:pt idx="3">
                  <c:v>3.390133439662149</c:v>
                </c:pt>
                <c:pt idx="4">
                  <c:v>0.85954101291214036</c:v>
                </c:pt>
                <c:pt idx="5">
                  <c:v>-1.6188070562381975</c:v>
                </c:pt>
                <c:pt idx="6">
                  <c:v>-3.8713701155560032</c:v>
                </c:pt>
                <c:pt idx="7">
                  <c:v>-6.1195572357704711</c:v>
                </c:pt>
                <c:pt idx="8">
                  <c:v>-7.6662562855741747</c:v>
                </c:pt>
                <c:pt idx="9">
                  <c:v>-7.5960610217403408</c:v>
                </c:pt>
                <c:pt idx="10">
                  <c:v>-5.9426728599505028</c:v>
                </c:pt>
                <c:pt idx="11">
                  <c:v>-4.4863774009376103</c:v>
                </c:pt>
                <c:pt idx="12">
                  <c:v>-2.7308909706937716</c:v>
                </c:pt>
                <c:pt idx="13">
                  <c:v>-0.75211663094423353</c:v>
                </c:pt>
                <c:pt idx="14">
                  <c:v>1.2489866307115891</c:v>
                </c:pt>
                <c:pt idx="15">
                  <c:v>2.9536625957445652</c:v>
                </c:pt>
                <c:pt idx="16">
                  <c:v>5.3041080272148378</c:v>
                </c:pt>
                <c:pt idx="17">
                  <c:v>7.37169282110382</c:v>
                </c:pt>
                <c:pt idx="18">
                  <c:v>9.4901356499565885</c:v>
                </c:pt>
                <c:pt idx="19">
                  <c:v>10.834717750549316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Arch!$I$2:$I$60</c:f>
              <c:numCache>
                <c:formatCode>General</c:formatCode>
                <c:ptCount val="59"/>
                <c:pt idx="0">
                  <c:v>-2.9050750744033538</c:v>
                </c:pt>
                <c:pt idx="1">
                  <c:v>-1.9926165920735159</c:v>
                </c:pt>
                <c:pt idx="2">
                  <c:v>-1.1170032194952413</c:v>
                </c:pt>
                <c:pt idx="3">
                  <c:v>-0.27309636104306428</c:v>
                </c:pt>
                <c:pt idx="4">
                  <c:v>0.52587586788446083</c:v>
                </c:pt>
                <c:pt idx="5">
                  <c:v>1.2004997428527466</c:v>
                </c:pt>
                <c:pt idx="6">
                  <c:v>1.6911418975681298</c:v>
                </c:pt>
                <c:pt idx="7">
                  <c:v>1.9208801629409717</c:v>
                </c:pt>
                <c:pt idx="8">
                  <c:v>1.2471772105222836</c:v>
                </c:pt>
                <c:pt idx="9">
                  <c:v>0.34131991847775422</c:v>
                </c:pt>
                <c:pt idx="10">
                  <c:v>-0.57159759202618188</c:v>
                </c:pt>
                <c:pt idx="11">
                  <c:v>-1.4453949410782077</c:v>
                </c:pt>
                <c:pt idx="12">
                  <c:v>-2.0241181181630257</c:v>
                </c:pt>
                <c:pt idx="13">
                  <c:v>-1.4164895599628524</c:v>
                </c:pt>
                <c:pt idx="14">
                  <c:v>-0.56312072758906906</c:v>
                </c:pt>
                <c:pt idx="15">
                  <c:v>0.3526734887003713</c:v>
                </c:pt>
                <c:pt idx="16">
                  <c:v>1.2957039139087561</c:v>
                </c:pt>
                <c:pt idx="17">
                  <c:v>2.2207310625197638</c:v>
                </c:pt>
                <c:pt idx="18">
                  <c:v>3.1267295205374541</c:v>
                </c:pt>
                <c:pt idx="19">
                  <c:v>4.0184753205510839</c:v>
                </c:pt>
                <c:pt idx="20">
                  <c:v>4.8669832813512945</c:v>
                </c:pt>
                <c:pt idx="21">
                  <c:v>5.6793828480477702</c:v>
                </c:pt>
                <c:pt idx="22">
                  <c:v>6.4761556647867788</c:v>
                </c:pt>
                <c:pt idx="23">
                  <c:v>7.2328481039386938</c:v>
                </c:pt>
                <c:pt idx="24">
                  <c:v>7.9504660269942491</c:v>
                </c:pt>
                <c:pt idx="25">
                  <c:v>8.6278006669846334</c:v>
                </c:pt>
                <c:pt idx="26">
                  <c:v>9.2829798302319837</c:v>
                </c:pt>
                <c:pt idx="27">
                  <c:v>9.9046918020094417</c:v>
                </c:pt>
                <c:pt idx="28">
                  <c:v>10.378619181582335</c:v>
                </c:pt>
                <c:pt idx="29">
                  <c:v>10.499812126159668</c:v>
                </c:pt>
                <c:pt idx="30">
                  <c:v>9.8917478366367817</c:v>
                </c:pt>
                <c:pt idx="31">
                  <c:v>8.9657377264920495</c:v>
                </c:pt>
                <c:pt idx="32">
                  <c:v>8.0042313008398072</c:v>
                </c:pt>
                <c:pt idx="33">
                  <c:v>7.0488523538917889</c:v>
                </c:pt>
                <c:pt idx="34">
                  <c:v>6.1021408398658563</c:v>
                </c:pt>
                <c:pt idx="35">
                  <c:v>5.1654891641646747</c:v>
                </c:pt>
                <c:pt idx="36">
                  <c:v>4.2371867158632037</c:v>
                </c:pt>
                <c:pt idx="37">
                  <c:v>3.3426032917827566</c:v>
                </c:pt>
                <c:pt idx="38">
                  <c:v>2.3994091727357629</c:v>
                </c:pt>
                <c:pt idx="39">
                  <c:v>1.4475197009785215</c:v>
                </c:pt>
                <c:pt idx="40">
                  <c:v>0.49263577145151011</c:v>
                </c:pt>
                <c:pt idx="41">
                  <c:v>-0.4136170213726475</c:v>
                </c:pt>
                <c:pt idx="42">
                  <c:v>-1.277713570015869</c:v>
                </c:pt>
                <c:pt idx="43">
                  <c:v>-1.4745835386135795</c:v>
                </c:pt>
                <c:pt idx="44">
                  <c:v>-0.6059297010320881</c:v>
                </c:pt>
                <c:pt idx="45">
                  <c:v>0.2856730638728785</c:v>
                </c:pt>
                <c:pt idx="46">
                  <c:v>1.1534991473628076</c:v>
                </c:pt>
                <c:pt idx="47">
                  <c:v>2.0396368585684783</c:v>
                </c:pt>
                <c:pt idx="48">
                  <c:v>2.9912632165236728</c:v>
                </c:pt>
                <c:pt idx="49">
                  <c:v>3.7434249297184494</c:v>
                </c:pt>
                <c:pt idx="50">
                  <c:v>3.3601774471381738</c:v>
                </c:pt>
                <c:pt idx="51">
                  <c:v>2.7017871374413973</c:v>
                </c:pt>
                <c:pt idx="52">
                  <c:v>1.9154835102051835</c:v>
                </c:pt>
                <c:pt idx="53">
                  <c:v>1.0678459251652783</c:v>
                </c:pt>
                <c:pt idx="54">
                  <c:v>0.16535708898121049</c:v>
                </c:pt>
                <c:pt idx="55">
                  <c:v>-0.76002898627643378</c:v>
                </c:pt>
                <c:pt idx="56">
                  <c:v>-1.7013898339219042</c:v>
                </c:pt>
                <c:pt idx="57">
                  <c:v>-2.6397353757579385</c:v>
                </c:pt>
                <c:pt idx="58">
                  <c:v>-3.5275938319551279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10.779005970932054</c:v>
                </c:pt>
                <c:pt idx="1">
                  <c:v>10.543247015723965</c:v>
                </c:pt>
                <c:pt idx="2">
                  <c:v>10.210066670320158</c:v>
                </c:pt>
                <c:pt idx="3">
                  <c:v>9.7982654174915957</c:v>
                </c:pt>
                <c:pt idx="4">
                  <c:v>9.2966299275292101</c:v>
                </c:pt>
                <c:pt idx="5">
                  <c:v>8.6460297151156613</c:v>
                </c:pt>
                <c:pt idx="6">
                  <c:v>7.8437019695972081</c:v>
                </c:pt>
                <c:pt idx="7">
                  <c:v>6.9365276332856869</c:v>
                </c:pt>
                <c:pt idx="8">
                  <c:v>6.5670039748351119</c:v>
                </c:pt>
                <c:pt idx="9">
                  <c:v>6.8232370511784382</c:v>
                </c:pt>
                <c:pt idx="10">
                  <c:v>7.0396332021519576</c:v>
                </c:pt>
                <c:pt idx="11">
                  <c:v>6.9201975356587404</c:v>
                </c:pt>
                <c:pt idx="12">
                  <c:v>6.390883731885495</c:v>
                </c:pt>
                <c:pt idx="13">
                  <c:v>5.7938229381995132</c:v>
                </c:pt>
                <c:pt idx="14">
                  <c:v>5.6550650258783568</c:v>
                </c:pt>
                <c:pt idx="15">
                  <c:v>5.5306277872036604</c:v>
                </c:pt>
                <c:pt idx="16">
                  <c:v>5.4504066115769838</c:v>
                </c:pt>
                <c:pt idx="17">
                  <c:v>5.2764577329115623</c:v>
                </c:pt>
                <c:pt idx="18">
                  <c:v>5.0383344849149658</c:v>
                </c:pt>
                <c:pt idx="19">
                  <c:v>4.7614014586610773</c:v>
                </c:pt>
                <c:pt idx="20">
                  <c:v>4.3570652367770251</c:v>
                </c:pt>
                <c:pt idx="21">
                  <c:v>3.8688298497377835</c:v>
                </c:pt>
                <c:pt idx="22">
                  <c:v>3.3603125049201319</c:v>
                </c:pt>
                <c:pt idx="23">
                  <c:v>2.7961515076456731</c:v>
                </c:pt>
                <c:pt idx="24">
                  <c:v>2.2241073431312297</c:v>
                </c:pt>
                <c:pt idx="25">
                  <c:v>1.6211421331405327</c:v>
                </c:pt>
                <c:pt idx="26">
                  <c:v>0.98094615593681256</c:v>
                </c:pt>
                <c:pt idx="27">
                  <c:v>0.3103706297419504</c:v>
                </c:pt>
                <c:pt idx="28">
                  <c:v>-0.46195418727029652</c:v>
                </c:pt>
                <c:pt idx="29">
                  <c:v>-1.1288367509841919</c:v>
                </c:pt>
                <c:pt idx="30">
                  <c:v>-1.8131296434348443</c:v>
                </c:pt>
                <c:pt idx="31">
                  <c:v>-2.0041632537473633</c:v>
                </c:pt>
                <c:pt idx="32">
                  <c:v>-2.0269331962029971</c:v>
                </c:pt>
                <c:pt idx="33">
                  <c:v>-1.9664721973279191</c:v>
                </c:pt>
                <c:pt idx="34">
                  <c:v>-1.8317666506702586</c:v>
                </c:pt>
                <c:pt idx="35">
                  <c:v>-1.6120193086353578</c:v>
                </c:pt>
                <c:pt idx="36">
                  <c:v>-1.3755549955431188</c:v>
                </c:pt>
                <c:pt idx="37">
                  <c:v>-1.1221801424142552</c:v>
                </c:pt>
                <c:pt idx="38">
                  <c:v>-1.1210776994477354</c:v>
                </c:pt>
                <c:pt idx="39">
                  <c:v>-1.1004088138923058</c:v>
                </c:pt>
                <c:pt idx="40">
                  <c:v>-1.1442955588058081</c:v>
                </c:pt>
                <c:pt idx="41">
                  <c:v>-1.3940287606801065</c:v>
                </c:pt>
                <c:pt idx="42">
                  <c:v>-1.6987607121011763</c:v>
                </c:pt>
                <c:pt idx="43">
                  <c:v>-2.2561085947856223</c:v>
                </c:pt>
                <c:pt idx="44">
                  <c:v>-2.5408011081346529</c:v>
                </c:pt>
                <c:pt idx="45">
                  <c:v>-2.6926649522664832</c:v>
                </c:pt>
                <c:pt idx="46">
                  <c:v>-2.8462977298285042</c:v>
                </c:pt>
                <c:pt idx="47">
                  <c:v>-2.9187564901775853</c:v>
                </c:pt>
                <c:pt idx="48">
                  <c:v>-2.8739650900740936</c:v>
                </c:pt>
                <c:pt idx="49">
                  <c:v>-3.2555416248080227</c:v>
                </c:pt>
                <c:pt idx="50">
                  <c:v>-4.1085110651871535</c:v>
                </c:pt>
                <c:pt idx="51">
                  <c:v>-4.786169219732149</c:v>
                </c:pt>
                <c:pt idx="52">
                  <c:v>-5.3221025084352007</c:v>
                </c:pt>
                <c:pt idx="53">
                  <c:v>-5.7637798352172513</c:v>
                </c:pt>
                <c:pt idx="54">
                  <c:v>-6.0802997591934096</c:v>
                </c:pt>
                <c:pt idx="55">
                  <c:v>-6.3299690581533223</c:v>
                </c:pt>
                <c:pt idx="56">
                  <c:v>-6.4951646993781837</c:v>
                </c:pt>
                <c:pt idx="57">
                  <c:v>-6.689811879366717</c:v>
                </c:pt>
                <c:pt idx="58">
                  <c:v>-7.0323059273650781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B92-43EF-8B00-39A77810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FCF-4386-869F-5835777544B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FCF-4386-869F-5835777544B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FCF-4386-869F-5835777544B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FCF-4386-869F-5835777544B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FCF-4386-869F-5835777544B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FCF-4386-869F-5835777544B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FCF-4386-869F-5835777544B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FCF-4386-869F-5835777544B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FCF-4386-869F-5835777544B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FCF-4386-869F-5835777544B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FCF-4386-869F-5835777544B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FCF-4386-869F-5835777544B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FCF-4386-869F-5835777544B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FCF-4386-869F-5835777544B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FCF-4386-869F-5835777544B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FCF-4386-869F-5835777544B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FCF-4386-869F-5835777544B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FCF-4386-869F-5835777544B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FCF-4386-869F-5835777544B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FCF-4386-869F-5835777544B2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-2.0273180704274529</c:v>
                </c:pt>
                <c:pt idx="1">
                  <c:v>-3.0445845459140903</c:v>
                </c:pt>
                <c:pt idx="2">
                  <c:v>-4.1759537164998557</c:v>
                </c:pt>
                <c:pt idx="3">
                  <c:v>-5.3575350458868023</c:v>
                </c:pt>
                <c:pt idx="4">
                  <c:v>-4.4761566816088907</c:v>
                </c:pt>
                <c:pt idx="5">
                  <c:v>-3.1934595263646957</c:v>
                </c:pt>
                <c:pt idx="6">
                  <c:v>-2.4433544876350899</c:v>
                </c:pt>
                <c:pt idx="7">
                  <c:v>-1.5495274844921965</c:v>
                </c:pt>
                <c:pt idx="8">
                  <c:v>-0.21071805858149539</c:v>
                </c:pt>
                <c:pt idx="9">
                  <c:v>1.861040742714287</c:v>
                </c:pt>
                <c:pt idx="10">
                  <c:v>3.2984823058920778</c:v>
                </c:pt>
                <c:pt idx="11">
                  <c:v>4.4605449699774606</c:v>
                </c:pt>
                <c:pt idx="12">
                  <c:v>5.0162838033523709</c:v>
                </c:pt>
                <c:pt idx="13">
                  <c:v>4.9390727103266272</c:v>
                </c:pt>
                <c:pt idx="14">
                  <c:v>4.4454009617664454</c:v>
                </c:pt>
                <c:pt idx="15">
                  <c:v>3.9378875164849321</c:v>
                </c:pt>
                <c:pt idx="16">
                  <c:v>3.049543944726826</c:v>
                </c:pt>
                <c:pt idx="17">
                  <c:v>2.4846780080020117</c:v>
                </c:pt>
                <c:pt idx="18">
                  <c:v>1.8388751363739979</c:v>
                </c:pt>
                <c:pt idx="19">
                  <c:v>8.0684060230850002E-4</c:v>
                </c:pt>
              </c:numCache>
            </c:numRef>
          </c:xVal>
          <c:yVal>
            <c:numRef>
              <c:f>Base!$I$2:$I$21</c:f>
              <c:numCache>
                <c:formatCode>General</c:formatCode>
                <c:ptCount val="20"/>
                <c:pt idx="0">
                  <c:v>-3.9125374805084308</c:v>
                </c:pt>
                <c:pt idx="1">
                  <c:v>-3.7181208981761369</c:v>
                </c:pt>
                <c:pt idx="2">
                  <c:v>-3.3724249995059421</c:v>
                </c:pt>
                <c:pt idx="3">
                  <c:v>-3.1515338713328247</c:v>
                </c:pt>
                <c:pt idx="4">
                  <c:v>-3.0108829995802058</c:v>
                </c:pt>
                <c:pt idx="5">
                  <c:v>-3.6442313290212587</c:v>
                </c:pt>
                <c:pt idx="6">
                  <c:v>-4.3670857533724705</c:v>
                </c:pt>
                <c:pt idx="7">
                  <c:v>-4.5773917036174225</c:v>
                </c:pt>
                <c:pt idx="8">
                  <c:v>-4.5876961271733219</c:v>
                </c:pt>
                <c:pt idx="9">
                  <c:v>-4.2303579115207368</c:v>
                </c:pt>
                <c:pt idx="10">
                  <c:v>-3.9454394600590197</c:v>
                </c:pt>
                <c:pt idx="11">
                  <c:v>-4.3535236653077476</c:v>
                </c:pt>
                <c:pt idx="12">
                  <c:v>-3.5853896339435787</c:v>
                </c:pt>
                <c:pt idx="13">
                  <c:v>-2.749149295228932</c:v>
                </c:pt>
                <c:pt idx="14">
                  <c:v>-2.7727444410369606</c:v>
                </c:pt>
                <c:pt idx="15">
                  <c:v>-2.8238556612138215</c:v>
                </c:pt>
                <c:pt idx="16">
                  <c:v>-2.9828861413719134</c:v>
                </c:pt>
                <c:pt idx="17">
                  <c:v>-3.38022905838177</c:v>
                </c:pt>
                <c:pt idx="18">
                  <c:v>-3.6261950619646335</c:v>
                </c:pt>
                <c:pt idx="19">
                  <c:v>-3.8408215045928955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Arch!$G$2:$G$60</c:f>
              <c:numCache>
                <c:formatCode>General</c:formatCode>
                <c:ptCount val="59"/>
                <c:pt idx="0">
                  <c:v>-2.1190410532187999E-3</c:v>
                </c:pt>
                <c:pt idx="1">
                  <c:v>-8.9466557636820002E-4</c:v>
                </c:pt>
                <c:pt idx="2">
                  <c:v>-6.3846360167714002E-3</c:v>
                </c:pt>
                <c:pt idx="3">
                  <c:v>-7.5726541711680195E-2</c:v>
                </c:pt>
                <c:pt idx="4">
                  <c:v>-0.16516508388127499</c:v>
                </c:pt>
                <c:pt idx="5">
                  <c:v>-0.30389824637419022</c:v>
                </c:pt>
                <c:pt idx="6">
                  <c:v>-0.40857309881883819</c:v>
                </c:pt>
                <c:pt idx="7">
                  <c:v>-0.49250426785481549</c:v>
                </c:pt>
                <c:pt idx="8">
                  <c:v>-0.51861893647741508</c:v>
                </c:pt>
                <c:pt idx="9">
                  <c:v>-0.46910836370970338</c:v>
                </c:pt>
                <c:pt idx="10">
                  <c:v>-0.35873172321311703</c:v>
                </c:pt>
                <c:pt idx="11">
                  <c:v>-0.53406935388788801</c:v>
                </c:pt>
                <c:pt idx="12">
                  <c:v>-0.70186481021612268</c:v>
                </c:pt>
                <c:pt idx="13">
                  <c:v>-0.8726996193600236</c:v>
                </c:pt>
                <c:pt idx="14">
                  <c:v>-1.262023963885585</c:v>
                </c:pt>
                <c:pt idx="15">
                  <c:v>-1.4370666829921102</c:v>
                </c:pt>
                <c:pt idx="16">
                  <c:v>-1.5063662301244154</c:v>
                </c:pt>
                <c:pt idx="17">
                  <c:v>-1.6134055638939433</c:v>
                </c:pt>
                <c:pt idx="18">
                  <c:v>-1.7561081503006286</c:v>
                </c:pt>
                <c:pt idx="19">
                  <c:v>-1.9147378704007429</c:v>
                </c:pt>
                <c:pt idx="20">
                  <c:v>-1.8909601401172342</c:v>
                </c:pt>
                <c:pt idx="21">
                  <c:v>-1.8400731412421871</c:v>
                </c:pt>
                <c:pt idx="22">
                  <c:v>-1.7984440433705331</c:v>
                </c:pt>
                <c:pt idx="23">
                  <c:v>-1.7298813083826874</c:v>
                </c:pt>
                <c:pt idx="24">
                  <c:v>-1.4924952603624471</c:v>
                </c:pt>
                <c:pt idx="25">
                  <c:v>-1.2268235900950013</c:v>
                </c:pt>
                <c:pt idx="26">
                  <c:v>-0.96994835532398449</c:v>
                </c:pt>
                <c:pt idx="27">
                  <c:v>-0.72879489947174136</c:v>
                </c:pt>
                <c:pt idx="28">
                  <c:v>-0.49243831913507091</c:v>
                </c:pt>
                <c:pt idx="29">
                  <c:v>0.1296215355396271</c:v>
                </c:pt>
                <c:pt idx="30">
                  <c:v>0.37652726687463989</c:v>
                </c:pt>
                <c:pt idx="31">
                  <c:v>0.40612068877443519</c:v>
                </c:pt>
                <c:pt idx="32">
                  <c:v>0.36186430308532391</c:v>
                </c:pt>
                <c:pt idx="33">
                  <c:v>0.3405232726769587</c:v>
                </c:pt>
                <c:pt idx="34">
                  <c:v>0.40265226383934821</c:v>
                </c:pt>
                <c:pt idx="35">
                  <c:v>0.377903956655814</c:v>
                </c:pt>
                <c:pt idx="36">
                  <c:v>0.294970492045388</c:v>
                </c:pt>
                <c:pt idx="37">
                  <c:v>0.1370405451093204</c:v>
                </c:pt>
                <c:pt idx="38">
                  <c:v>9.8485881534955994E-2</c:v>
                </c:pt>
                <c:pt idx="39">
                  <c:v>5.4586355366224E-3</c:v>
                </c:pt>
                <c:pt idx="40">
                  <c:v>2.6167736940643799E-2</c:v>
                </c:pt>
                <c:pt idx="41">
                  <c:v>0.15581117074215611</c:v>
                </c:pt>
                <c:pt idx="42">
                  <c:v>0.36188979562057472</c:v>
                </c:pt>
                <c:pt idx="43">
                  <c:v>0.94863499544245389</c:v>
                </c:pt>
                <c:pt idx="44">
                  <c:v>1.1777667483877401</c:v>
                </c:pt>
                <c:pt idx="45">
                  <c:v>0.98999898884209003</c:v>
                </c:pt>
                <c:pt idx="46">
                  <c:v>0.6135891998290659</c:v>
                </c:pt>
                <c:pt idx="47">
                  <c:v>0.30163288449920911</c:v>
                </c:pt>
                <c:pt idx="48">
                  <c:v>0.38401372514896659</c:v>
                </c:pt>
                <c:pt idx="49">
                  <c:v>0.53803139296501845</c:v>
                </c:pt>
                <c:pt idx="50">
                  <c:v>0.67843102527060584</c:v>
                </c:pt>
                <c:pt idx="51">
                  <c:v>0.84775550409915013</c:v>
                </c:pt>
                <c:pt idx="52">
                  <c:v>0.97490882861232619</c:v>
                </c:pt>
                <c:pt idx="53">
                  <c:v>1.0684275359797368</c:v>
                </c:pt>
                <c:pt idx="54">
                  <c:v>1.1482784663834416</c:v>
                </c:pt>
                <c:pt idx="55">
                  <c:v>1.2325752278161364</c:v>
                </c:pt>
                <c:pt idx="56">
                  <c:v>1.3389888360076625</c:v>
                </c:pt>
                <c:pt idx="57">
                  <c:v>1.4409294991424801</c:v>
                </c:pt>
                <c:pt idx="58">
                  <c:v>1.5649129716649255</c:v>
                </c:pt>
              </c:numCache>
            </c:numRef>
          </c:xVal>
          <c:yVal>
            <c:numRef>
              <c:f>Arch!$I$2:$I$60</c:f>
              <c:numCache>
                <c:formatCode>General</c:formatCode>
                <c:ptCount val="59"/>
                <c:pt idx="0">
                  <c:v>-2.9050750744033538</c:v>
                </c:pt>
                <c:pt idx="1">
                  <c:v>-1.9926165920735159</c:v>
                </c:pt>
                <c:pt idx="2">
                  <c:v>-1.1170032194952413</c:v>
                </c:pt>
                <c:pt idx="3">
                  <c:v>-0.27309636104306428</c:v>
                </c:pt>
                <c:pt idx="4">
                  <c:v>0.52587586788446083</c:v>
                </c:pt>
                <c:pt idx="5">
                  <c:v>1.2004997428527466</c:v>
                </c:pt>
                <c:pt idx="6">
                  <c:v>1.6911418975681298</c:v>
                </c:pt>
                <c:pt idx="7">
                  <c:v>1.9208801629409717</c:v>
                </c:pt>
                <c:pt idx="8">
                  <c:v>1.2471772105222836</c:v>
                </c:pt>
                <c:pt idx="9">
                  <c:v>0.34131991847775422</c:v>
                </c:pt>
                <c:pt idx="10">
                  <c:v>-0.57159759202618188</c:v>
                </c:pt>
                <c:pt idx="11">
                  <c:v>-1.4453949410782077</c:v>
                </c:pt>
                <c:pt idx="12">
                  <c:v>-2.0241181181630257</c:v>
                </c:pt>
                <c:pt idx="13">
                  <c:v>-1.4164895599628524</c:v>
                </c:pt>
                <c:pt idx="14">
                  <c:v>-0.56312072758906906</c:v>
                </c:pt>
                <c:pt idx="15">
                  <c:v>0.3526734887003713</c:v>
                </c:pt>
                <c:pt idx="16">
                  <c:v>1.2957039139087561</c:v>
                </c:pt>
                <c:pt idx="17">
                  <c:v>2.2207310625197638</c:v>
                </c:pt>
                <c:pt idx="18">
                  <c:v>3.1267295205374541</c:v>
                </c:pt>
                <c:pt idx="19">
                  <c:v>4.0184753205510839</c:v>
                </c:pt>
                <c:pt idx="20">
                  <c:v>4.8669832813512945</c:v>
                </c:pt>
                <c:pt idx="21">
                  <c:v>5.6793828480477702</c:v>
                </c:pt>
                <c:pt idx="22">
                  <c:v>6.4761556647867788</c:v>
                </c:pt>
                <c:pt idx="23">
                  <c:v>7.2328481039386938</c:v>
                </c:pt>
                <c:pt idx="24">
                  <c:v>7.9504660269942491</c:v>
                </c:pt>
                <c:pt idx="25">
                  <c:v>8.6278006669846334</c:v>
                </c:pt>
                <c:pt idx="26">
                  <c:v>9.2829798302319837</c:v>
                </c:pt>
                <c:pt idx="27">
                  <c:v>9.9046918020094417</c:v>
                </c:pt>
                <c:pt idx="28">
                  <c:v>10.378619181582335</c:v>
                </c:pt>
                <c:pt idx="29">
                  <c:v>10.499812126159668</c:v>
                </c:pt>
                <c:pt idx="30">
                  <c:v>9.8917478366367817</c:v>
                </c:pt>
                <c:pt idx="31">
                  <c:v>8.9657377264920495</c:v>
                </c:pt>
                <c:pt idx="32">
                  <c:v>8.0042313008398072</c:v>
                </c:pt>
                <c:pt idx="33">
                  <c:v>7.0488523538917889</c:v>
                </c:pt>
                <c:pt idx="34">
                  <c:v>6.1021408398658563</c:v>
                </c:pt>
                <c:pt idx="35">
                  <c:v>5.1654891641646747</c:v>
                </c:pt>
                <c:pt idx="36">
                  <c:v>4.2371867158632037</c:v>
                </c:pt>
                <c:pt idx="37">
                  <c:v>3.3426032917827566</c:v>
                </c:pt>
                <c:pt idx="38">
                  <c:v>2.3994091727357629</c:v>
                </c:pt>
                <c:pt idx="39">
                  <c:v>1.4475197009785215</c:v>
                </c:pt>
                <c:pt idx="40">
                  <c:v>0.49263577145151011</c:v>
                </c:pt>
                <c:pt idx="41">
                  <c:v>-0.4136170213726475</c:v>
                </c:pt>
                <c:pt idx="42">
                  <c:v>-1.277713570015869</c:v>
                </c:pt>
                <c:pt idx="43">
                  <c:v>-1.4745835386135795</c:v>
                </c:pt>
                <c:pt idx="44">
                  <c:v>-0.6059297010320881</c:v>
                </c:pt>
                <c:pt idx="45">
                  <c:v>0.2856730638728785</c:v>
                </c:pt>
                <c:pt idx="46">
                  <c:v>1.1534991473628076</c:v>
                </c:pt>
                <c:pt idx="47">
                  <c:v>2.0396368585684783</c:v>
                </c:pt>
                <c:pt idx="48">
                  <c:v>2.9912632165236728</c:v>
                </c:pt>
                <c:pt idx="49">
                  <c:v>3.7434249297184494</c:v>
                </c:pt>
                <c:pt idx="50">
                  <c:v>3.3601774471381738</c:v>
                </c:pt>
                <c:pt idx="51">
                  <c:v>2.7017871374413973</c:v>
                </c:pt>
                <c:pt idx="52">
                  <c:v>1.9154835102051835</c:v>
                </c:pt>
                <c:pt idx="53">
                  <c:v>1.0678459251652783</c:v>
                </c:pt>
                <c:pt idx="54">
                  <c:v>0.16535708898121049</c:v>
                </c:pt>
                <c:pt idx="55">
                  <c:v>-0.76002898627643378</c:v>
                </c:pt>
                <c:pt idx="56">
                  <c:v>-1.7013898339219042</c:v>
                </c:pt>
                <c:pt idx="57">
                  <c:v>-2.6397353757579385</c:v>
                </c:pt>
                <c:pt idx="58">
                  <c:v>-3.5275938319551279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CF-4386-869F-5835777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E43-476D-B1CE-56F357F502DD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E43-476D-B1CE-56F357F502DD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E43-476D-B1CE-56F357F502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E43-476D-B1CE-56F357F502DD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E43-476D-B1CE-56F357F502DD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E43-476D-B1CE-56F357F502DD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E43-476D-B1CE-56F357F502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E43-476D-B1CE-56F357F502DD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E43-476D-B1CE-56F357F502DD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E43-476D-B1CE-56F357F502DD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E43-476D-B1CE-56F357F502DD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E43-476D-B1CE-56F357F502DD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E43-476D-B1CE-56F357F502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E43-476D-B1CE-56F357F502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E43-476D-B1CE-56F357F502DD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E43-476D-B1CE-56F357F502DD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E43-476D-B1CE-56F357F502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E43-476D-B1CE-56F357F502DD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E43-476D-B1CE-56F357F502DD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C4E-4E76-B33E-BE5485487B01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C4E-4E76-B33E-BE5485487B01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C4E-4E76-B33E-BE5485487B01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C4E-4E76-B33E-BE5485487B01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C4E-4E76-B33E-BE5485487B01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C4E-4E76-B33E-BE5485487B01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C4E-4E76-B33E-BE5485487B01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C4E-4E76-B33E-BE5485487B01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C4E-4E76-B33E-BE5485487B01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C4E-4E76-B33E-BE5485487B01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C4E-4E76-B33E-BE5485487B01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C4E-4E76-B33E-BE5485487B01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C4E-4E76-B33E-BE5485487B01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C4E-4E76-B33E-BE5485487B01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C4E-4E76-B33E-BE5485487B01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C4E-4E76-B33E-BE5485487B01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C4E-4E76-B33E-BE5485487B01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C4E-4E76-B33E-BE5485487B01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C4E-4E76-B33E-BE5485487B01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C4E-4E76-B33E-BE5485487B01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C4E-4E76-B33E-BE5485487B01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C4E-4E76-B33E-BE5485487B01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C4E-4E76-B33E-BE5485487B01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C4E-4E76-B33E-BE5485487B01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C4E-4E76-B33E-BE5485487B01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C4E-4E76-B33E-BE5485487B01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C4E-4E76-B33E-BE5485487B01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C4E-4E76-B33E-BE5485487B01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C4E-4E76-B33E-BE5485487B01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C4E-4E76-B33E-BE5485487B01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C4E-4E76-B33E-BE5485487B01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C4E-4E76-B33E-BE5485487B01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C4E-4E76-B33E-BE5485487B01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C4E-4E76-B33E-BE5485487B01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C4E-4E76-B33E-BE5485487B01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C4E-4E76-B33E-BE5485487B01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C4E-4E76-B33E-BE5485487B01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C4E-4E76-B33E-BE5485487B01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C4E-4E76-B33E-BE5485487B01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C4E-4E76-B33E-BE5485487B01}"/>
              </c:ext>
            </c:extLst>
          </c:dPt>
          <c:xVal>
            <c:numRef>
              <c:f>Arch!$G$2:$G$60</c:f>
              <c:numCache>
                <c:formatCode>General</c:formatCode>
                <c:ptCount val="59"/>
                <c:pt idx="0">
                  <c:v>-2.1190410532187999E-3</c:v>
                </c:pt>
                <c:pt idx="1">
                  <c:v>-8.9466557636820002E-4</c:v>
                </c:pt>
                <c:pt idx="2">
                  <c:v>-6.3846360167714002E-3</c:v>
                </c:pt>
                <c:pt idx="3">
                  <c:v>-7.5726541711680195E-2</c:v>
                </c:pt>
                <c:pt idx="4">
                  <c:v>-0.16516508388127499</c:v>
                </c:pt>
                <c:pt idx="5">
                  <c:v>-0.30389824637419022</c:v>
                </c:pt>
                <c:pt idx="6">
                  <c:v>-0.40857309881883819</c:v>
                </c:pt>
                <c:pt idx="7">
                  <c:v>-0.49250426785481549</c:v>
                </c:pt>
                <c:pt idx="8">
                  <c:v>-0.51861893647741508</c:v>
                </c:pt>
                <c:pt idx="9">
                  <c:v>-0.46910836370970338</c:v>
                </c:pt>
                <c:pt idx="10">
                  <c:v>-0.35873172321311703</c:v>
                </c:pt>
                <c:pt idx="11">
                  <c:v>-0.53406935388788801</c:v>
                </c:pt>
                <c:pt idx="12">
                  <c:v>-0.70186481021612268</c:v>
                </c:pt>
                <c:pt idx="13">
                  <c:v>-0.8726996193600236</c:v>
                </c:pt>
                <c:pt idx="14">
                  <c:v>-1.262023963885585</c:v>
                </c:pt>
                <c:pt idx="15">
                  <c:v>-1.4370666829921102</c:v>
                </c:pt>
                <c:pt idx="16">
                  <c:v>-1.5063662301244154</c:v>
                </c:pt>
                <c:pt idx="17">
                  <c:v>-1.6134055638939433</c:v>
                </c:pt>
                <c:pt idx="18">
                  <c:v>-1.7561081503006286</c:v>
                </c:pt>
                <c:pt idx="19">
                  <c:v>-1.9147378704007429</c:v>
                </c:pt>
                <c:pt idx="20">
                  <c:v>-1.8909601401172342</c:v>
                </c:pt>
                <c:pt idx="21">
                  <c:v>-1.8400731412421871</c:v>
                </c:pt>
                <c:pt idx="22">
                  <c:v>-1.7984440433705331</c:v>
                </c:pt>
                <c:pt idx="23">
                  <c:v>-1.7298813083826874</c:v>
                </c:pt>
                <c:pt idx="24">
                  <c:v>-1.4924952603624471</c:v>
                </c:pt>
                <c:pt idx="25">
                  <c:v>-1.2268235900950013</c:v>
                </c:pt>
                <c:pt idx="26">
                  <c:v>-0.96994835532398449</c:v>
                </c:pt>
                <c:pt idx="27">
                  <c:v>-0.72879489947174136</c:v>
                </c:pt>
                <c:pt idx="28">
                  <c:v>-0.49243831913507091</c:v>
                </c:pt>
                <c:pt idx="29">
                  <c:v>0.1296215355396271</c:v>
                </c:pt>
                <c:pt idx="30">
                  <c:v>0.37652726687463989</c:v>
                </c:pt>
                <c:pt idx="31">
                  <c:v>0.40612068877443519</c:v>
                </c:pt>
                <c:pt idx="32">
                  <c:v>0.36186430308532391</c:v>
                </c:pt>
                <c:pt idx="33">
                  <c:v>0.3405232726769587</c:v>
                </c:pt>
                <c:pt idx="34">
                  <c:v>0.40265226383934821</c:v>
                </c:pt>
                <c:pt idx="35">
                  <c:v>0.377903956655814</c:v>
                </c:pt>
                <c:pt idx="36">
                  <c:v>0.294970492045388</c:v>
                </c:pt>
                <c:pt idx="37">
                  <c:v>0.1370405451093204</c:v>
                </c:pt>
                <c:pt idx="38">
                  <c:v>9.8485881534955994E-2</c:v>
                </c:pt>
                <c:pt idx="39">
                  <c:v>5.4586355366224E-3</c:v>
                </c:pt>
                <c:pt idx="40">
                  <c:v>2.6167736940643799E-2</c:v>
                </c:pt>
                <c:pt idx="41">
                  <c:v>0.15581117074215611</c:v>
                </c:pt>
                <c:pt idx="42">
                  <c:v>0.36188979562057472</c:v>
                </c:pt>
                <c:pt idx="43">
                  <c:v>0.94863499544245389</c:v>
                </c:pt>
                <c:pt idx="44">
                  <c:v>1.1777667483877401</c:v>
                </c:pt>
                <c:pt idx="45">
                  <c:v>0.98999898884209003</c:v>
                </c:pt>
                <c:pt idx="46">
                  <c:v>0.6135891998290659</c:v>
                </c:pt>
                <c:pt idx="47">
                  <c:v>0.30163288449920911</c:v>
                </c:pt>
                <c:pt idx="48">
                  <c:v>0.38401372514896659</c:v>
                </c:pt>
                <c:pt idx="49">
                  <c:v>0.53803139296501845</c:v>
                </c:pt>
                <c:pt idx="50">
                  <c:v>0.67843102527060584</c:v>
                </c:pt>
                <c:pt idx="51">
                  <c:v>0.84775550409915013</c:v>
                </c:pt>
                <c:pt idx="52">
                  <c:v>0.97490882861232619</c:v>
                </c:pt>
                <c:pt idx="53">
                  <c:v>1.0684275359797368</c:v>
                </c:pt>
                <c:pt idx="54">
                  <c:v>1.1482784663834416</c:v>
                </c:pt>
                <c:pt idx="55">
                  <c:v>1.2325752278161364</c:v>
                </c:pt>
                <c:pt idx="56">
                  <c:v>1.3389888360076625</c:v>
                </c:pt>
                <c:pt idx="57">
                  <c:v>1.4409294991424801</c:v>
                </c:pt>
                <c:pt idx="58">
                  <c:v>1.5649129716649255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10.779005970932054</c:v>
                </c:pt>
                <c:pt idx="1">
                  <c:v>10.543247015723965</c:v>
                </c:pt>
                <c:pt idx="2">
                  <c:v>10.210066670320158</c:v>
                </c:pt>
                <c:pt idx="3">
                  <c:v>9.7982654174915957</c:v>
                </c:pt>
                <c:pt idx="4">
                  <c:v>9.2966299275292101</c:v>
                </c:pt>
                <c:pt idx="5">
                  <c:v>8.6460297151156613</c:v>
                </c:pt>
                <c:pt idx="6">
                  <c:v>7.8437019695972081</c:v>
                </c:pt>
                <c:pt idx="7">
                  <c:v>6.9365276332856869</c:v>
                </c:pt>
                <c:pt idx="8">
                  <c:v>6.5670039748351119</c:v>
                </c:pt>
                <c:pt idx="9">
                  <c:v>6.8232370511784382</c:v>
                </c:pt>
                <c:pt idx="10">
                  <c:v>7.0396332021519576</c:v>
                </c:pt>
                <c:pt idx="11">
                  <c:v>6.9201975356587404</c:v>
                </c:pt>
                <c:pt idx="12">
                  <c:v>6.390883731885495</c:v>
                </c:pt>
                <c:pt idx="13">
                  <c:v>5.7938229381995132</c:v>
                </c:pt>
                <c:pt idx="14">
                  <c:v>5.6550650258783568</c:v>
                </c:pt>
                <c:pt idx="15">
                  <c:v>5.5306277872036604</c:v>
                </c:pt>
                <c:pt idx="16">
                  <c:v>5.4504066115769838</c:v>
                </c:pt>
                <c:pt idx="17">
                  <c:v>5.2764577329115623</c:v>
                </c:pt>
                <c:pt idx="18">
                  <c:v>5.0383344849149658</c:v>
                </c:pt>
                <c:pt idx="19">
                  <c:v>4.7614014586610773</c:v>
                </c:pt>
                <c:pt idx="20">
                  <c:v>4.3570652367770251</c:v>
                </c:pt>
                <c:pt idx="21">
                  <c:v>3.8688298497377835</c:v>
                </c:pt>
                <c:pt idx="22">
                  <c:v>3.3603125049201319</c:v>
                </c:pt>
                <c:pt idx="23">
                  <c:v>2.7961515076456731</c:v>
                </c:pt>
                <c:pt idx="24">
                  <c:v>2.2241073431312297</c:v>
                </c:pt>
                <c:pt idx="25">
                  <c:v>1.6211421331405327</c:v>
                </c:pt>
                <c:pt idx="26">
                  <c:v>0.98094615593681256</c:v>
                </c:pt>
                <c:pt idx="27">
                  <c:v>0.3103706297419504</c:v>
                </c:pt>
                <c:pt idx="28">
                  <c:v>-0.46195418727029652</c:v>
                </c:pt>
                <c:pt idx="29">
                  <c:v>-1.1288367509841919</c:v>
                </c:pt>
                <c:pt idx="30">
                  <c:v>-1.8131296434348443</c:v>
                </c:pt>
                <c:pt idx="31">
                  <c:v>-2.0041632537473633</c:v>
                </c:pt>
                <c:pt idx="32">
                  <c:v>-2.0269331962029971</c:v>
                </c:pt>
                <c:pt idx="33">
                  <c:v>-1.9664721973279191</c:v>
                </c:pt>
                <c:pt idx="34">
                  <c:v>-1.8317666506702586</c:v>
                </c:pt>
                <c:pt idx="35">
                  <c:v>-1.6120193086353578</c:v>
                </c:pt>
                <c:pt idx="36">
                  <c:v>-1.3755549955431188</c:v>
                </c:pt>
                <c:pt idx="37">
                  <c:v>-1.1221801424142552</c:v>
                </c:pt>
                <c:pt idx="38">
                  <c:v>-1.1210776994477354</c:v>
                </c:pt>
                <c:pt idx="39">
                  <c:v>-1.1004088138923058</c:v>
                </c:pt>
                <c:pt idx="40">
                  <c:v>-1.1442955588058081</c:v>
                </c:pt>
                <c:pt idx="41">
                  <c:v>-1.3940287606801065</c:v>
                </c:pt>
                <c:pt idx="42">
                  <c:v>-1.6987607121011763</c:v>
                </c:pt>
                <c:pt idx="43">
                  <c:v>-2.2561085947856223</c:v>
                </c:pt>
                <c:pt idx="44">
                  <c:v>-2.5408011081346529</c:v>
                </c:pt>
                <c:pt idx="45">
                  <c:v>-2.6926649522664832</c:v>
                </c:pt>
                <c:pt idx="46">
                  <c:v>-2.8462977298285042</c:v>
                </c:pt>
                <c:pt idx="47">
                  <c:v>-2.9187564901775853</c:v>
                </c:pt>
                <c:pt idx="48">
                  <c:v>-2.8739650900740936</c:v>
                </c:pt>
                <c:pt idx="49">
                  <c:v>-3.2555416248080227</c:v>
                </c:pt>
                <c:pt idx="50">
                  <c:v>-4.1085110651871535</c:v>
                </c:pt>
                <c:pt idx="51">
                  <c:v>-4.786169219732149</c:v>
                </c:pt>
                <c:pt idx="52">
                  <c:v>-5.3221025084352007</c:v>
                </c:pt>
                <c:pt idx="53">
                  <c:v>-5.7637798352172513</c:v>
                </c:pt>
                <c:pt idx="54">
                  <c:v>-6.0802997591934096</c:v>
                </c:pt>
                <c:pt idx="55">
                  <c:v>-6.3299690581533223</c:v>
                </c:pt>
                <c:pt idx="56">
                  <c:v>-6.4951646993781837</c:v>
                </c:pt>
                <c:pt idx="57">
                  <c:v>-6.689811879366717</c:v>
                </c:pt>
                <c:pt idx="58">
                  <c:v>-7.0323059273650781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E43-476D-B1CE-56F357F502DD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FA5C-4F5C-846A-BEF883CEDB9F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-2.0273180704274529</c:v>
                </c:pt>
                <c:pt idx="1">
                  <c:v>-3.0445845459140903</c:v>
                </c:pt>
                <c:pt idx="2">
                  <c:v>-4.1759537164998557</c:v>
                </c:pt>
                <c:pt idx="3">
                  <c:v>-5.3575350458868023</c:v>
                </c:pt>
                <c:pt idx="4">
                  <c:v>-4.4761566816088907</c:v>
                </c:pt>
                <c:pt idx="5">
                  <c:v>-3.1934595263646957</c:v>
                </c:pt>
                <c:pt idx="6">
                  <c:v>-2.4433544876350899</c:v>
                </c:pt>
                <c:pt idx="7">
                  <c:v>-1.5495274844921965</c:v>
                </c:pt>
                <c:pt idx="8">
                  <c:v>-0.21071805858149539</c:v>
                </c:pt>
                <c:pt idx="9">
                  <c:v>1.861040742714287</c:v>
                </c:pt>
                <c:pt idx="10">
                  <c:v>3.2984823058920778</c:v>
                </c:pt>
                <c:pt idx="11">
                  <c:v>4.4605449699774606</c:v>
                </c:pt>
                <c:pt idx="12">
                  <c:v>5.0162838033523709</c:v>
                </c:pt>
                <c:pt idx="13">
                  <c:v>4.9390727103266272</c:v>
                </c:pt>
                <c:pt idx="14">
                  <c:v>4.4454009617664454</c:v>
                </c:pt>
                <c:pt idx="15">
                  <c:v>3.9378875164849321</c:v>
                </c:pt>
                <c:pt idx="16">
                  <c:v>3.049543944726826</c:v>
                </c:pt>
                <c:pt idx="17">
                  <c:v>2.4846780080020117</c:v>
                </c:pt>
                <c:pt idx="18">
                  <c:v>1.8388751363739979</c:v>
                </c:pt>
                <c:pt idx="19">
                  <c:v>8.0684060230850002E-4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9.7449269121728932</c:v>
                </c:pt>
                <c:pt idx="1">
                  <c:v>7.566770567853081</c:v>
                </c:pt>
                <c:pt idx="2">
                  <c:v>5.6932554952362704</c:v>
                </c:pt>
                <c:pt idx="3">
                  <c:v>3.390133439662149</c:v>
                </c:pt>
                <c:pt idx="4">
                  <c:v>0.85954101291214036</c:v>
                </c:pt>
                <c:pt idx="5">
                  <c:v>-1.6188070562381975</c:v>
                </c:pt>
                <c:pt idx="6">
                  <c:v>-3.8713701155560032</c:v>
                </c:pt>
                <c:pt idx="7">
                  <c:v>-6.1195572357704711</c:v>
                </c:pt>
                <c:pt idx="8">
                  <c:v>-7.6662562855741747</c:v>
                </c:pt>
                <c:pt idx="9">
                  <c:v>-7.5960610217403408</c:v>
                </c:pt>
                <c:pt idx="10">
                  <c:v>-5.9426728599505028</c:v>
                </c:pt>
                <c:pt idx="11">
                  <c:v>-4.4863774009376103</c:v>
                </c:pt>
                <c:pt idx="12">
                  <c:v>-2.7308909706937716</c:v>
                </c:pt>
                <c:pt idx="13">
                  <c:v>-0.75211663094423353</c:v>
                </c:pt>
                <c:pt idx="14">
                  <c:v>1.2489866307115891</c:v>
                </c:pt>
                <c:pt idx="15">
                  <c:v>2.9536625957445652</c:v>
                </c:pt>
                <c:pt idx="16">
                  <c:v>5.3041080272148378</c:v>
                </c:pt>
                <c:pt idx="17">
                  <c:v>7.37169282110382</c:v>
                </c:pt>
                <c:pt idx="18">
                  <c:v>9.4901356499565885</c:v>
                </c:pt>
                <c:pt idx="19">
                  <c:v>10.834717750549316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E43-476D-B1CE-56F357F50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D50-48D9-A1C2-0BFC8ABC375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D50-48D9-A1C2-0BFC8ABC375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D50-48D9-A1C2-0BFC8ABC375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D50-48D9-A1C2-0BFC8ABC375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D50-48D9-A1C2-0BFC8ABC375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D50-48D9-A1C2-0BFC8ABC375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D50-48D9-A1C2-0BFC8ABC375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D50-48D9-A1C2-0BFC8ABC375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D50-48D9-A1C2-0BFC8ABC375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D50-48D9-A1C2-0BFC8ABC375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D50-48D9-A1C2-0BFC8ABC375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D50-48D9-A1C2-0BFC8ABC375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D50-48D9-A1C2-0BFC8ABC375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D50-48D9-A1C2-0BFC8ABC375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D50-48D9-A1C2-0BFC8ABC375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D50-48D9-A1C2-0BFC8ABC375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D50-48D9-A1C2-0BFC8ABC375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D50-48D9-A1C2-0BFC8ABC375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D50-48D9-A1C2-0BFC8ABC375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C50-477E-9A25-D6C5AE8CA358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C50-477E-9A25-D6C5AE8CA35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C50-477E-9A25-D6C5AE8CA35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C50-477E-9A25-D6C5AE8CA35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C50-477E-9A25-D6C5AE8CA35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C50-477E-9A25-D6C5AE8CA35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C50-477E-9A25-D6C5AE8CA35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C50-477E-9A25-D6C5AE8CA35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C50-477E-9A25-D6C5AE8CA35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C50-477E-9A25-D6C5AE8CA35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C50-477E-9A25-D6C5AE8CA35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C50-477E-9A25-D6C5AE8CA35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C50-477E-9A25-D6C5AE8CA35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C50-477E-9A25-D6C5AE8CA35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C50-477E-9A25-D6C5AE8CA35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C50-477E-9A25-D6C5AE8CA35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C50-477E-9A25-D6C5AE8CA35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C50-477E-9A25-D6C5AE8CA35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C50-477E-9A25-D6C5AE8CA35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C50-477E-9A25-D6C5AE8CA35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C50-477E-9A25-D6C5AE8CA35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C50-477E-9A25-D6C5AE8CA35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C50-477E-9A25-D6C5AE8CA35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C50-477E-9A25-D6C5AE8CA35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C50-477E-9A25-D6C5AE8CA35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C50-477E-9A25-D6C5AE8CA35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C50-477E-9A25-D6C5AE8CA35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C50-477E-9A25-D6C5AE8CA35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C50-477E-9A25-D6C5AE8CA35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C50-477E-9A25-D6C5AE8CA35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C50-477E-9A25-D6C5AE8CA35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C50-477E-9A25-D6C5AE8CA35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C50-477E-9A25-D6C5AE8CA35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C50-477E-9A25-D6C5AE8CA35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C50-477E-9A25-D6C5AE8CA35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C50-477E-9A25-D6C5AE8CA35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C50-477E-9A25-D6C5AE8CA35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C50-477E-9A25-D6C5AE8CA35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C50-477E-9A25-D6C5AE8CA35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C50-477E-9A25-D6C5AE8CA358}"/>
              </c:ext>
            </c:extLst>
          </c:dPt>
          <c:xVal>
            <c:numRef>
              <c:f>Arch!$I$2:$I$60</c:f>
              <c:numCache>
                <c:formatCode>General</c:formatCode>
                <c:ptCount val="59"/>
                <c:pt idx="0">
                  <c:v>-2.9050750744033538</c:v>
                </c:pt>
                <c:pt idx="1">
                  <c:v>-1.9926165920735159</c:v>
                </c:pt>
                <c:pt idx="2">
                  <c:v>-1.1170032194952413</c:v>
                </c:pt>
                <c:pt idx="3">
                  <c:v>-0.27309636104306428</c:v>
                </c:pt>
                <c:pt idx="4">
                  <c:v>0.52587586788446083</c:v>
                </c:pt>
                <c:pt idx="5">
                  <c:v>1.2004997428527466</c:v>
                </c:pt>
                <c:pt idx="6">
                  <c:v>1.6911418975681298</c:v>
                </c:pt>
                <c:pt idx="7">
                  <c:v>1.9208801629409717</c:v>
                </c:pt>
                <c:pt idx="8">
                  <c:v>1.2471772105222836</c:v>
                </c:pt>
                <c:pt idx="9">
                  <c:v>0.34131991847775422</c:v>
                </c:pt>
                <c:pt idx="10">
                  <c:v>-0.57159759202618188</c:v>
                </c:pt>
                <c:pt idx="11">
                  <c:v>-1.4453949410782077</c:v>
                </c:pt>
                <c:pt idx="12">
                  <c:v>-2.0241181181630257</c:v>
                </c:pt>
                <c:pt idx="13">
                  <c:v>-1.4164895599628524</c:v>
                </c:pt>
                <c:pt idx="14">
                  <c:v>-0.56312072758906906</c:v>
                </c:pt>
                <c:pt idx="15">
                  <c:v>0.3526734887003713</c:v>
                </c:pt>
                <c:pt idx="16">
                  <c:v>1.2957039139087561</c:v>
                </c:pt>
                <c:pt idx="17">
                  <c:v>2.2207310625197638</c:v>
                </c:pt>
                <c:pt idx="18">
                  <c:v>3.1267295205374541</c:v>
                </c:pt>
                <c:pt idx="19">
                  <c:v>4.0184753205510839</c:v>
                </c:pt>
                <c:pt idx="20">
                  <c:v>4.8669832813512945</c:v>
                </c:pt>
                <c:pt idx="21">
                  <c:v>5.6793828480477702</c:v>
                </c:pt>
                <c:pt idx="22">
                  <c:v>6.4761556647867788</c:v>
                </c:pt>
                <c:pt idx="23">
                  <c:v>7.2328481039386938</c:v>
                </c:pt>
                <c:pt idx="24">
                  <c:v>7.9504660269942491</c:v>
                </c:pt>
                <c:pt idx="25">
                  <c:v>8.6278006669846334</c:v>
                </c:pt>
                <c:pt idx="26">
                  <c:v>9.2829798302319837</c:v>
                </c:pt>
                <c:pt idx="27">
                  <c:v>9.9046918020094417</c:v>
                </c:pt>
                <c:pt idx="28">
                  <c:v>10.378619181582335</c:v>
                </c:pt>
                <c:pt idx="29">
                  <c:v>10.499812126159668</c:v>
                </c:pt>
                <c:pt idx="30">
                  <c:v>9.8917478366367817</c:v>
                </c:pt>
                <c:pt idx="31">
                  <c:v>8.9657377264920495</c:v>
                </c:pt>
                <c:pt idx="32">
                  <c:v>8.0042313008398072</c:v>
                </c:pt>
                <c:pt idx="33">
                  <c:v>7.0488523538917889</c:v>
                </c:pt>
                <c:pt idx="34">
                  <c:v>6.1021408398658563</c:v>
                </c:pt>
                <c:pt idx="35">
                  <c:v>5.1654891641646747</c:v>
                </c:pt>
                <c:pt idx="36">
                  <c:v>4.2371867158632037</c:v>
                </c:pt>
                <c:pt idx="37">
                  <c:v>3.3426032917827566</c:v>
                </c:pt>
                <c:pt idx="38">
                  <c:v>2.3994091727357629</c:v>
                </c:pt>
                <c:pt idx="39">
                  <c:v>1.4475197009785215</c:v>
                </c:pt>
                <c:pt idx="40">
                  <c:v>0.49263577145151011</c:v>
                </c:pt>
                <c:pt idx="41">
                  <c:v>-0.4136170213726475</c:v>
                </c:pt>
                <c:pt idx="42">
                  <c:v>-1.277713570015869</c:v>
                </c:pt>
                <c:pt idx="43">
                  <c:v>-1.4745835386135795</c:v>
                </c:pt>
                <c:pt idx="44">
                  <c:v>-0.6059297010320881</c:v>
                </c:pt>
                <c:pt idx="45">
                  <c:v>0.2856730638728785</c:v>
                </c:pt>
                <c:pt idx="46">
                  <c:v>1.1534991473628076</c:v>
                </c:pt>
                <c:pt idx="47">
                  <c:v>2.0396368585684783</c:v>
                </c:pt>
                <c:pt idx="48">
                  <c:v>2.9912632165236728</c:v>
                </c:pt>
                <c:pt idx="49">
                  <c:v>3.7434249297184494</c:v>
                </c:pt>
                <c:pt idx="50">
                  <c:v>3.3601774471381738</c:v>
                </c:pt>
                <c:pt idx="51">
                  <c:v>2.7017871374413973</c:v>
                </c:pt>
                <c:pt idx="52">
                  <c:v>1.9154835102051835</c:v>
                </c:pt>
                <c:pt idx="53">
                  <c:v>1.0678459251652783</c:v>
                </c:pt>
                <c:pt idx="54">
                  <c:v>0.16535708898121049</c:v>
                </c:pt>
                <c:pt idx="55">
                  <c:v>-0.76002898627643378</c:v>
                </c:pt>
                <c:pt idx="56">
                  <c:v>-1.7013898339219042</c:v>
                </c:pt>
                <c:pt idx="57">
                  <c:v>-2.6397353757579385</c:v>
                </c:pt>
                <c:pt idx="58">
                  <c:v>-3.5275938319551279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10.779005970932054</c:v>
                </c:pt>
                <c:pt idx="1">
                  <c:v>10.543247015723965</c:v>
                </c:pt>
                <c:pt idx="2">
                  <c:v>10.210066670320158</c:v>
                </c:pt>
                <c:pt idx="3">
                  <c:v>9.7982654174915957</c:v>
                </c:pt>
                <c:pt idx="4">
                  <c:v>9.2966299275292101</c:v>
                </c:pt>
                <c:pt idx="5">
                  <c:v>8.6460297151156613</c:v>
                </c:pt>
                <c:pt idx="6">
                  <c:v>7.8437019695972081</c:v>
                </c:pt>
                <c:pt idx="7">
                  <c:v>6.9365276332856869</c:v>
                </c:pt>
                <c:pt idx="8">
                  <c:v>6.5670039748351119</c:v>
                </c:pt>
                <c:pt idx="9">
                  <c:v>6.8232370511784382</c:v>
                </c:pt>
                <c:pt idx="10">
                  <c:v>7.0396332021519576</c:v>
                </c:pt>
                <c:pt idx="11">
                  <c:v>6.9201975356587404</c:v>
                </c:pt>
                <c:pt idx="12">
                  <c:v>6.390883731885495</c:v>
                </c:pt>
                <c:pt idx="13">
                  <c:v>5.7938229381995132</c:v>
                </c:pt>
                <c:pt idx="14">
                  <c:v>5.6550650258783568</c:v>
                </c:pt>
                <c:pt idx="15">
                  <c:v>5.5306277872036604</c:v>
                </c:pt>
                <c:pt idx="16">
                  <c:v>5.4504066115769838</c:v>
                </c:pt>
                <c:pt idx="17">
                  <c:v>5.2764577329115623</c:v>
                </c:pt>
                <c:pt idx="18">
                  <c:v>5.0383344849149658</c:v>
                </c:pt>
                <c:pt idx="19">
                  <c:v>4.7614014586610773</c:v>
                </c:pt>
                <c:pt idx="20">
                  <c:v>4.3570652367770251</c:v>
                </c:pt>
                <c:pt idx="21">
                  <c:v>3.8688298497377835</c:v>
                </c:pt>
                <c:pt idx="22">
                  <c:v>3.3603125049201319</c:v>
                </c:pt>
                <c:pt idx="23">
                  <c:v>2.7961515076456731</c:v>
                </c:pt>
                <c:pt idx="24">
                  <c:v>2.2241073431312297</c:v>
                </c:pt>
                <c:pt idx="25">
                  <c:v>1.6211421331405327</c:v>
                </c:pt>
                <c:pt idx="26">
                  <c:v>0.98094615593681256</c:v>
                </c:pt>
                <c:pt idx="27">
                  <c:v>0.3103706297419504</c:v>
                </c:pt>
                <c:pt idx="28">
                  <c:v>-0.46195418727029652</c:v>
                </c:pt>
                <c:pt idx="29">
                  <c:v>-1.1288367509841919</c:v>
                </c:pt>
                <c:pt idx="30">
                  <c:v>-1.8131296434348443</c:v>
                </c:pt>
                <c:pt idx="31">
                  <c:v>-2.0041632537473633</c:v>
                </c:pt>
                <c:pt idx="32">
                  <c:v>-2.0269331962029971</c:v>
                </c:pt>
                <c:pt idx="33">
                  <c:v>-1.9664721973279191</c:v>
                </c:pt>
                <c:pt idx="34">
                  <c:v>-1.8317666506702586</c:v>
                </c:pt>
                <c:pt idx="35">
                  <c:v>-1.6120193086353578</c:v>
                </c:pt>
                <c:pt idx="36">
                  <c:v>-1.3755549955431188</c:v>
                </c:pt>
                <c:pt idx="37">
                  <c:v>-1.1221801424142552</c:v>
                </c:pt>
                <c:pt idx="38">
                  <c:v>-1.1210776994477354</c:v>
                </c:pt>
                <c:pt idx="39">
                  <c:v>-1.1004088138923058</c:v>
                </c:pt>
                <c:pt idx="40">
                  <c:v>-1.1442955588058081</c:v>
                </c:pt>
                <c:pt idx="41">
                  <c:v>-1.3940287606801065</c:v>
                </c:pt>
                <c:pt idx="42">
                  <c:v>-1.6987607121011763</c:v>
                </c:pt>
                <c:pt idx="43">
                  <c:v>-2.2561085947856223</c:v>
                </c:pt>
                <c:pt idx="44">
                  <c:v>-2.5408011081346529</c:v>
                </c:pt>
                <c:pt idx="45">
                  <c:v>-2.6926649522664832</c:v>
                </c:pt>
                <c:pt idx="46">
                  <c:v>-2.8462977298285042</c:v>
                </c:pt>
                <c:pt idx="47">
                  <c:v>-2.9187564901775853</c:v>
                </c:pt>
                <c:pt idx="48">
                  <c:v>-2.8739650900740936</c:v>
                </c:pt>
                <c:pt idx="49">
                  <c:v>-3.2555416248080227</c:v>
                </c:pt>
                <c:pt idx="50">
                  <c:v>-4.1085110651871535</c:v>
                </c:pt>
                <c:pt idx="51">
                  <c:v>-4.786169219732149</c:v>
                </c:pt>
                <c:pt idx="52">
                  <c:v>-5.3221025084352007</c:v>
                </c:pt>
                <c:pt idx="53">
                  <c:v>-5.7637798352172513</c:v>
                </c:pt>
                <c:pt idx="54">
                  <c:v>-6.0802997591934096</c:v>
                </c:pt>
                <c:pt idx="55">
                  <c:v>-6.3299690581533223</c:v>
                </c:pt>
                <c:pt idx="56">
                  <c:v>-6.4951646993781837</c:v>
                </c:pt>
                <c:pt idx="57">
                  <c:v>-6.689811879366717</c:v>
                </c:pt>
                <c:pt idx="58">
                  <c:v>-7.0323059273650781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D50-48D9-A1C2-0BFC8ABC3756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26A9-44CE-9B9D-948A8AC98817}"/>
              </c:ext>
            </c:extLst>
          </c:dPt>
          <c:xVal>
            <c:numRef>
              <c:f>Base!$I$2:$I$21</c:f>
              <c:numCache>
                <c:formatCode>General</c:formatCode>
                <c:ptCount val="20"/>
                <c:pt idx="0">
                  <c:v>-3.9125374805084308</c:v>
                </c:pt>
                <c:pt idx="1">
                  <c:v>-3.7181208981761369</c:v>
                </c:pt>
                <c:pt idx="2">
                  <c:v>-3.3724249995059421</c:v>
                </c:pt>
                <c:pt idx="3">
                  <c:v>-3.1515338713328247</c:v>
                </c:pt>
                <c:pt idx="4">
                  <c:v>-3.0108829995802058</c:v>
                </c:pt>
                <c:pt idx="5">
                  <c:v>-3.6442313290212587</c:v>
                </c:pt>
                <c:pt idx="6">
                  <c:v>-4.3670857533724705</c:v>
                </c:pt>
                <c:pt idx="7">
                  <c:v>-4.5773917036174225</c:v>
                </c:pt>
                <c:pt idx="8">
                  <c:v>-4.5876961271733219</c:v>
                </c:pt>
                <c:pt idx="9">
                  <c:v>-4.2303579115207368</c:v>
                </c:pt>
                <c:pt idx="10">
                  <c:v>-3.9454394600590197</c:v>
                </c:pt>
                <c:pt idx="11">
                  <c:v>-4.3535236653077476</c:v>
                </c:pt>
                <c:pt idx="12">
                  <c:v>-3.5853896339435787</c:v>
                </c:pt>
                <c:pt idx="13">
                  <c:v>-2.749149295228932</c:v>
                </c:pt>
                <c:pt idx="14">
                  <c:v>-2.7727444410369606</c:v>
                </c:pt>
                <c:pt idx="15">
                  <c:v>-2.8238556612138215</c:v>
                </c:pt>
                <c:pt idx="16">
                  <c:v>-2.9828861413719134</c:v>
                </c:pt>
                <c:pt idx="17">
                  <c:v>-3.38022905838177</c:v>
                </c:pt>
                <c:pt idx="18">
                  <c:v>-3.6261950619646335</c:v>
                </c:pt>
                <c:pt idx="19">
                  <c:v>-3.8408215045928955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9.7449269121728932</c:v>
                </c:pt>
                <c:pt idx="1">
                  <c:v>7.566770567853081</c:v>
                </c:pt>
                <c:pt idx="2">
                  <c:v>5.6932554952362704</c:v>
                </c:pt>
                <c:pt idx="3">
                  <c:v>3.390133439662149</c:v>
                </c:pt>
                <c:pt idx="4">
                  <c:v>0.85954101291214036</c:v>
                </c:pt>
                <c:pt idx="5">
                  <c:v>-1.6188070562381975</c:v>
                </c:pt>
                <c:pt idx="6">
                  <c:v>-3.8713701155560032</c:v>
                </c:pt>
                <c:pt idx="7">
                  <c:v>-6.1195572357704711</c:v>
                </c:pt>
                <c:pt idx="8">
                  <c:v>-7.6662562855741747</c:v>
                </c:pt>
                <c:pt idx="9">
                  <c:v>-7.5960610217403408</c:v>
                </c:pt>
                <c:pt idx="10">
                  <c:v>-5.9426728599505028</c:v>
                </c:pt>
                <c:pt idx="11">
                  <c:v>-4.4863774009376103</c:v>
                </c:pt>
                <c:pt idx="12">
                  <c:v>-2.7308909706937716</c:v>
                </c:pt>
                <c:pt idx="13">
                  <c:v>-0.75211663094423353</c:v>
                </c:pt>
                <c:pt idx="14">
                  <c:v>1.2489866307115891</c:v>
                </c:pt>
                <c:pt idx="15">
                  <c:v>2.9536625957445652</c:v>
                </c:pt>
                <c:pt idx="16">
                  <c:v>5.3041080272148378</c:v>
                </c:pt>
                <c:pt idx="17">
                  <c:v>7.37169282110382</c:v>
                </c:pt>
                <c:pt idx="18">
                  <c:v>9.4901356499565885</c:v>
                </c:pt>
                <c:pt idx="19">
                  <c:v>10.834717750549316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D50-48D9-A1C2-0BFC8ABC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93C-4E66-9DC7-5860591BD24B}"/>
              </c:ext>
            </c:extLst>
          </c:dPt>
          <c:dPt>
            <c:idx val="1"/>
            <c:marker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93C-4E66-9DC7-5860591BD24B}"/>
              </c:ext>
            </c:extLst>
          </c:dPt>
          <c:dPt>
            <c:idx val="2"/>
            <c:marker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93C-4E66-9DC7-5860591BD24B}"/>
              </c:ext>
            </c:extLst>
          </c:dPt>
          <c:dPt>
            <c:idx val="3"/>
            <c:marker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93C-4E66-9DC7-5860591BD24B}"/>
              </c:ext>
            </c:extLst>
          </c:dPt>
          <c:dPt>
            <c:idx val="4"/>
            <c:marker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93C-4E66-9DC7-5860591BD24B}"/>
              </c:ext>
            </c:extLst>
          </c:dPt>
          <c:dPt>
            <c:idx val="5"/>
            <c:marker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93C-4E66-9DC7-5860591BD24B}"/>
              </c:ext>
            </c:extLst>
          </c:dPt>
          <c:dPt>
            <c:idx val="6"/>
            <c:marker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93C-4E66-9DC7-5860591BD24B}"/>
              </c:ext>
            </c:extLst>
          </c:dPt>
          <c:dPt>
            <c:idx val="7"/>
            <c:marker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93C-4E66-9DC7-5860591BD24B}"/>
              </c:ext>
            </c:extLst>
          </c:dPt>
          <c:dPt>
            <c:idx val="8"/>
            <c:marker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93C-4E66-9DC7-5860591BD24B}"/>
              </c:ext>
            </c:extLst>
          </c:dPt>
          <c:dPt>
            <c:idx val="9"/>
            <c:marker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93C-4E66-9DC7-5860591BD24B}"/>
              </c:ext>
            </c:extLst>
          </c:dPt>
          <c:dPt>
            <c:idx val="10"/>
            <c:marker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593C-4E66-9DC7-5860591BD24B}"/>
              </c:ext>
            </c:extLst>
          </c:dPt>
          <c:dPt>
            <c:idx val="11"/>
            <c:marker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93C-4E66-9DC7-5860591BD24B}"/>
              </c:ext>
            </c:extLst>
          </c:dPt>
          <c:dPt>
            <c:idx val="12"/>
            <c:marker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93C-4E66-9DC7-5860591BD24B}"/>
              </c:ext>
            </c:extLst>
          </c:dPt>
          <c:dPt>
            <c:idx val="13"/>
            <c:marker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93C-4E66-9DC7-5860591BD24B}"/>
              </c:ext>
            </c:extLst>
          </c:dPt>
          <c:dPt>
            <c:idx val="14"/>
            <c:marker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593C-4E66-9DC7-5860591BD24B}"/>
              </c:ext>
            </c:extLst>
          </c:dPt>
          <c:dPt>
            <c:idx val="15"/>
            <c:marker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593C-4E66-9DC7-5860591BD24B}"/>
              </c:ext>
            </c:extLst>
          </c:dPt>
          <c:dPt>
            <c:idx val="16"/>
            <c:marker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93C-4E66-9DC7-5860591BD24B}"/>
              </c:ext>
            </c:extLst>
          </c:dPt>
          <c:dPt>
            <c:idx val="17"/>
            <c:marker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593C-4E66-9DC7-5860591BD24B}"/>
              </c:ext>
            </c:extLst>
          </c:dPt>
          <c:dPt>
            <c:idx val="18"/>
            <c:marker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593C-4E66-9DC7-5860591BD24B}"/>
              </c:ext>
            </c:extLst>
          </c:dPt>
          <c:dPt>
            <c:idx val="19"/>
            <c:marker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21-4EEB-9568-F986D3A2262E}"/>
              </c:ext>
            </c:extLst>
          </c:dPt>
          <c:dPt>
            <c:idx val="20"/>
            <c:marker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21-4EEB-9568-F986D3A2262E}"/>
              </c:ext>
            </c:extLst>
          </c:dPt>
          <c:dPt>
            <c:idx val="21"/>
            <c:marker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21-4EEB-9568-F986D3A2262E}"/>
              </c:ext>
            </c:extLst>
          </c:dPt>
          <c:dPt>
            <c:idx val="22"/>
            <c:marker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21-4EEB-9568-F986D3A2262E}"/>
              </c:ext>
            </c:extLst>
          </c:dPt>
          <c:dPt>
            <c:idx val="23"/>
            <c:marker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21-4EEB-9568-F986D3A2262E}"/>
              </c:ext>
            </c:extLst>
          </c:dPt>
          <c:dPt>
            <c:idx val="24"/>
            <c:marker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21-4EEB-9568-F986D3A2262E}"/>
              </c:ext>
            </c:extLst>
          </c:dPt>
          <c:dPt>
            <c:idx val="25"/>
            <c:marker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21-4EEB-9568-F986D3A2262E}"/>
              </c:ext>
            </c:extLst>
          </c:dPt>
          <c:dPt>
            <c:idx val="26"/>
            <c:marker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21-4EEB-9568-F986D3A2262E}"/>
              </c:ext>
            </c:extLst>
          </c:dPt>
          <c:dPt>
            <c:idx val="27"/>
            <c:marker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21-4EEB-9568-F986D3A2262E}"/>
              </c:ext>
            </c:extLst>
          </c:dPt>
          <c:dPt>
            <c:idx val="28"/>
            <c:marker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21-4EEB-9568-F986D3A2262E}"/>
              </c:ext>
            </c:extLst>
          </c:dPt>
          <c:dPt>
            <c:idx val="29"/>
            <c:marker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21-4EEB-9568-F986D3A2262E}"/>
              </c:ext>
            </c:extLst>
          </c:dPt>
          <c:dPt>
            <c:idx val="30"/>
            <c:marker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21-4EEB-9568-F986D3A2262E}"/>
              </c:ext>
            </c:extLst>
          </c:dPt>
          <c:dPt>
            <c:idx val="31"/>
            <c:marker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21-4EEB-9568-F986D3A2262E}"/>
              </c:ext>
            </c:extLst>
          </c:dPt>
          <c:dPt>
            <c:idx val="32"/>
            <c:marker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21-4EEB-9568-F986D3A2262E}"/>
              </c:ext>
            </c:extLst>
          </c:dPt>
          <c:dPt>
            <c:idx val="33"/>
            <c:marker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21-4EEB-9568-F986D3A2262E}"/>
              </c:ext>
            </c:extLst>
          </c:dPt>
          <c:dPt>
            <c:idx val="34"/>
            <c:marker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21-4EEB-9568-F986D3A2262E}"/>
              </c:ext>
            </c:extLst>
          </c:dPt>
          <c:dPt>
            <c:idx val="35"/>
            <c:marker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21-4EEB-9568-F986D3A2262E}"/>
              </c:ext>
            </c:extLst>
          </c:dPt>
          <c:dPt>
            <c:idx val="36"/>
            <c:marker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21-4EEB-9568-F986D3A2262E}"/>
              </c:ext>
            </c:extLst>
          </c:dPt>
          <c:dPt>
            <c:idx val="37"/>
            <c:marker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21-4EEB-9568-F986D3A2262E}"/>
              </c:ext>
            </c:extLst>
          </c:dPt>
          <c:dPt>
            <c:idx val="38"/>
            <c:marker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21-4EEB-9568-F986D3A2262E}"/>
              </c:ext>
            </c:extLst>
          </c:dPt>
          <c:dPt>
            <c:idx val="39"/>
            <c:marker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21-4EEB-9568-F986D3A2262E}"/>
              </c:ext>
            </c:extLst>
          </c:dPt>
          <c:dPt>
            <c:idx val="40"/>
            <c:marker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21-4EEB-9568-F986D3A2262E}"/>
              </c:ext>
            </c:extLst>
          </c:dPt>
          <c:dPt>
            <c:idx val="41"/>
            <c:marker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21-4EEB-9568-F986D3A2262E}"/>
              </c:ext>
            </c:extLst>
          </c:dPt>
          <c:dPt>
            <c:idx val="42"/>
            <c:marker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21-4EEB-9568-F986D3A2262E}"/>
              </c:ext>
            </c:extLst>
          </c:dPt>
          <c:dPt>
            <c:idx val="43"/>
            <c:marker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21-4EEB-9568-F986D3A2262E}"/>
              </c:ext>
            </c:extLst>
          </c:dPt>
          <c:dPt>
            <c:idx val="44"/>
            <c:marker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21-4EEB-9568-F986D3A2262E}"/>
              </c:ext>
            </c:extLst>
          </c:dPt>
          <c:dPt>
            <c:idx val="45"/>
            <c:marker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21-4EEB-9568-F986D3A2262E}"/>
              </c:ext>
            </c:extLst>
          </c:dPt>
          <c:dPt>
            <c:idx val="46"/>
            <c:marker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21-4EEB-9568-F986D3A2262E}"/>
              </c:ext>
            </c:extLst>
          </c:dPt>
          <c:dPt>
            <c:idx val="47"/>
            <c:marker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21-4EEB-9568-F986D3A2262E}"/>
              </c:ext>
            </c:extLst>
          </c:dPt>
          <c:dPt>
            <c:idx val="48"/>
            <c:marker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21-4EEB-9568-F986D3A2262E}"/>
              </c:ext>
            </c:extLst>
          </c:dPt>
          <c:dPt>
            <c:idx val="49"/>
            <c:marker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21-4EEB-9568-F986D3A2262E}"/>
              </c:ext>
            </c:extLst>
          </c:dPt>
          <c:dPt>
            <c:idx val="50"/>
            <c:marker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21-4EEB-9568-F986D3A2262E}"/>
              </c:ext>
            </c:extLst>
          </c:dPt>
          <c:dPt>
            <c:idx val="51"/>
            <c:marker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21-4EEB-9568-F986D3A2262E}"/>
              </c:ext>
            </c:extLst>
          </c:dPt>
          <c:dPt>
            <c:idx val="52"/>
            <c:marker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21-4EEB-9568-F986D3A2262E}"/>
              </c:ext>
            </c:extLst>
          </c:dPt>
          <c:dPt>
            <c:idx val="53"/>
            <c:marker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21-4EEB-9568-F986D3A2262E}"/>
              </c:ext>
            </c:extLst>
          </c:dPt>
          <c:dPt>
            <c:idx val="54"/>
            <c:marker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21-4EEB-9568-F986D3A2262E}"/>
              </c:ext>
            </c:extLst>
          </c:dPt>
          <c:dPt>
            <c:idx val="55"/>
            <c:marker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21-4EEB-9568-F986D3A2262E}"/>
              </c:ext>
            </c:extLst>
          </c:dPt>
          <c:dPt>
            <c:idx val="56"/>
            <c:marker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21-4EEB-9568-F986D3A2262E}"/>
              </c:ext>
            </c:extLst>
          </c:dPt>
          <c:dPt>
            <c:idx val="57"/>
            <c:marker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21-4EEB-9568-F986D3A2262E}"/>
              </c:ext>
            </c:extLst>
          </c:dPt>
          <c:dPt>
            <c:idx val="58"/>
            <c:marker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21-4EEB-9568-F986D3A2262E}"/>
              </c:ext>
            </c:extLst>
          </c:dPt>
          <c:xVal>
            <c:numRef>
              <c:f>Arch!$G$2:$G$60</c:f>
              <c:numCache>
                <c:formatCode>General</c:formatCode>
                <c:ptCount val="59"/>
                <c:pt idx="0">
                  <c:v>-2.1190410532187999E-3</c:v>
                </c:pt>
                <c:pt idx="1">
                  <c:v>-8.9466557636820002E-4</c:v>
                </c:pt>
                <c:pt idx="2">
                  <c:v>-6.3846360167714002E-3</c:v>
                </c:pt>
                <c:pt idx="3">
                  <c:v>-7.5726541711680195E-2</c:v>
                </c:pt>
                <c:pt idx="4">
                  <c:v>-0.16516508388127499</c:v>
                </c:pt>
                <c:pt idx="5">
                  <c:v>-0.30389824637419022</c:v>
                </c:pt>
                <c:pt idx="6">
                  <c:v>-0.40857309881883819</c:v>
                </c:pt>
                <c:pt idx="7">
                  <c:v>-0.49250426785481549</c:v>
                </c:pt>
                <c:pt idx="8">
                  <c:v>-0.51861893647741508</c:v>
                </c:pt>
                <c:pt idx="9">
                  <c:v>-0.46910836370970338</c:v>
                </c:pt>
                <c:pt idx="10">
                  <c:v>-0.35873172321311703</c:v>
                </c:pt>
                <c:pt idx="11">
                  <c:v>-0.53406935388788801</c:v>
                </c:pt>
                <c:pt idx="12">
                  <c:v>-0.70186481021612268</c:v>
                </c:pt>
                <c:pt idx="13">
                  <c:v>-0.8726996193600236</c:v>
                </c:pt>
                <c:pt idx="14">
                  <c:v>-1.262023963885585</c:v>
                </c:pt>
                <c:pt idx="15">
                  <c:v>-1.4370666829921102</c:v>
                </c:pt>
                <c:pt idx="16">
                  <c:v>-1.5063662301244154</c:v>
                </c:pt>
                <c:pt idx="17">
                  <c:v>-1.6134055638939433</c:v>
                </c:pt>
                <c:pt idx="18">
                  <c:v>-1.7561081503006286</c:v>
                </c:pt>
                <c:pt idx="19">
                  <c:v>-1.9147378704007429</c:v>
                </c:pt>
                <c:pt idx="20">
                  <c:v>-1.8909601401172342</c:v>
                </c:pt>
                <c:pt idx="21">
                  <c:v>-1.8400731412421871</c:v>
                </c:pt>
                <c:pt idx="22">
                  <c:v>-1.7984440433705331</c:v>
                </c:pt>
                <c:pt idx="23">
                  <c:v>-1.7298813083826874</c:v>
                </c:pt>
                <c:pt idx="24">
                  <c:v>-1.4924952603624471</c:v>
                </c:pt>
                <c:pt idx="25">
                  <c:v>-1.2268235900950013</c:v>
                </c:pt>
                <c:pt idx="26">
                  <c:v>-0.96994835532398449</c:v>
                </c:pt>
                <c:pt idx="27">
                  <c:v>-0.72879489947174136</c:v>
                </c:pt>
                <c:pt idx="28">
                  <c:v>-0.49243831913507091</c:v>
                </c:pt>
                <c:pt idx="29">
                  <c:v>0.1296215355396271</c:v>
                </c:pt>
                <c:pt idx="30">
                  <c:v>0.37652726687463989</c:v>
                </c:pt>
                <c:pt idx="31">
                  <c:v>0.40612068877443519</c:v>
                </c:pt>
                <c:pt idx="32">
                  <c:v>0.36186430308532391</c:v>
                </c:pt>
                <c:pt idx="33">
                  <c:v>0.3405232726769587</c:v>
                </c:pt>
                <c:pt idx="34">
                  <c:v>0.40265226383934821</c:v>
                </c:pt>
                <c:pt idx="35">
                  <c:v>0.377903956655814</c:v>
                </c:pt>
                <c:pt idx="36">
                  <c:v>0.294970492045388</c:v>
                </c:pt>
                <c:pt idx="37">
                  <c:v>0.1370405451093204</c:v>
                </c:pt>
                <c:pt idx="38">
                  <c:v>9.8485881534955994E-2</c:v>
                </c:pt>
                <c:pt idx="39">
                  <c:v>5.4586355366224E-3</c:v>
                </c:pt>
                <c:pt idx="40">
                  <c:v>2.6167736940643799E-2</c:v>
                </c:pt>
                <c:pt idx="41">
                  <c:v>0.15581117074215611</c:v>
                </c:pt>
                <c:pt idx="42">
                  <c:v>0.36188979562057472</c:v>
                </c:pt>
                <c:pt idx="43">
                  <c:v>0.94863499544245389</c:v>
                </c:pt>
                <c:pt idx="44">
                  <c:v>1.1777667483877401</c:v>
                </c:pt>
                <c:pt idx="45">
                  <c:v>0.98999898884209003</c:v>
                </c:pt>
                <c:pt idx="46">
                  <c:v>0.6135891998290659</c:v>
                </c:pt>
                <c:pt idx="47">
                  <c:v>0.30163288449920911</c:v>
                </c:pt>
                <c:pt idx="48">
                  <c:v>0.38401372514896659</c:v>
                </c:pt>
                <c:pt idx="49">
                  <c:v>0.53803139296501845</c:v>
                </c:pt>
                <c:pt idx="50">
                  <c:v>0.67843102527060584</c:v>
                </c:pt>
                <c:pt idx="51">
                  <c:v>0.84775550409915013</c:v>
                </c:pt>
                <c:pt idx="52">
                  <c:v>0.97490882861232619</c:v>
                </c:pt>
                <c:pt idx="53">
                  <c:v>1.0684275359797368</c:v>
                </c:pt>
                <c:pt idx="54">
                  <c:v>1.1482784663834416</c:v>
                </c:pt>
                <c:pt idx="55">
                  <c:v>1.2325752278161364</c:v>
                </c:pt>
                <c:pt idx="56">
                  <c:v>1.3389888360076625</c:v>
                </c:pt>
                <c:pt idx="57">
                  <c:v>1.4409294991424801</c:v>
                </c:pt>
                <c:pt idx="58">
                  <c:v>1.5649129716649255</c:v>
                </c:pt>
              </c:numCache>
            </c:numRef>
          </c:xVal>
          <c:yVal>
            <c:numRef>
              <c:f>Arch!$I$2:$I$60</c:f>
              <c:numCache>
                <c:formatCode>General</c:formatCode>
                <c:ptCount val="59"/>
                <c:pt idx="0">
                  <c:v>-2.9050750744033538</c:v>
                </c:pt>
                <c:pt idx="1">
                  <c:v>-1.9926165920735159</c:v>
                </c:pt>
                <c:pt idx="2">
                  <c:v>-1.1170032194952413</c:v>
                </c:pt>
                <c:pt idx="3">
                  <c:v>-0.27309636104306428</c:v>
                </c:pt>
                <c:pt idx="4">
                  <c:v>0.52587586788446083</c:v>
                </c:pt>
                <c:pt idx="5">
                  <c:v>1.2004997428527466</c:v>
                </c:pt>
                <c:pt idx="6">
                  <c:v>1.6911418975681298</c:v>
                </c:pt>
                <c:pt idx="7">
                  <c:v>1.9208801629409717</c:v>
                </c:pt>
                <c:pt idx="8">
                  <c:v>1.2471772105222836</c:v>
                </c:pt>
                <c:pt idx="9">
                  <c:v>0.34131991847775422</c:v>
                </c:pt>
                <c:pt idx="10">
                  <c:v>-0.57159759202618188</c:v>
                </c:pt>
                <c:pt idx="11">
                  <c:v>-1.4453949410782077</c:v>
                </c:pt>
                <c:pt idx="12">
                  <c:v>-2.0241181181630257</c:v>
                </c:pt>
                <c:pt idx="13">
                  <c:v>-1.4164895599628524</c:v>
                </c:pt>
                <c:pt idx="14">
                  <c:v>-0.56312072758906906</c:v>
                </c:pt>
                <c:pt idx="15">
                  <c:v>0.3526734887003713</c:v>
                </c:pt>
                <c:pt idx="16">
                  <c:v>1.2957039139087561</c:v>
                </c:pt>
                <c:pt idx="17">
                  <c:v>2.2207310625197638</c:v>
                </c:pt>
                <c:pt idx="18">
                  <c:v>3.1267295205374541</c:v>
                </c:pt>
                <c:pt idx="19">
                  <c:v>4.0184753205510839</c:v>
                </c:pt>
                <c:pt idx="20">
                  <c:v>4.8669832813512945</c:v>
                </c:pt>
                <c:pt idx="21">
                  <c:v>5.6793828480477702</c:v>
                </c:pt>
                <c:pt idx="22">
                  <c:v>6.4761556647867788</c:v>
                </c:pt>
                <c:pt idx="23">
                  <c:v>7.2328481039386938</c:v>
                </c:pt>
                <c:pt idx="24">
                  <c:v>7.9504660269942491</c:v>
                </c:pt>
                <c:pt idx="25">
                  <c:v>8.6278006669846334</c:v>
                </c:pt>
                <c:pt idx="26">
                  <c:v>9.2829798302319837</c:v>
                </c:pt>
                <c:pt idx="27">
                  <c:v>9.9046918020094417</c:v>
                </c:pt>
                <c:pt idx="28">
                  <c:v>10.378619181582335</c:v>
                </c:pt>
                <c:pt idx="29">
                  <c:v>10.499812126159668</c:v>
                </c:pt>
                <c:pt idx="30">
                  <c:v>9.8917478366367817</c:v>
                </c:pt>
                <c:pt idx="31">
                  <c:v>8.9657377264920495</c:v>
                </c:pt>
                <c:pt idx="32">
                  <c:v>8.0042313008398072</c:v>
                </c:pt>
                <c:pt idx="33">
                  <c:v>7.0488523538917889</c:v>
                </c:pt>
                <c:pt idx="34">
                  <c:v>6.1021408398658563</c:v>
                </c:pt>
                <c:pt idx="35">
                  <c:v>5.1654891641646747</c:v>
                </c:pt>
                <c:pt idx="36">
                  <c:v>4.2371867158632037</c:v>
                </c:pt>
                <c:pt idx="37">
                  <c:v>3.3426032917827566</c:v>
                </c:pt>
                <c:pt idx="38">
                  <c:v>2.3994091727357629</c:v>
                </c:pt>
                <c:pt idx="39">
                  <c:v>1.4475197009785215</c:v>
                </c:pt>
                <c:pt idx="40">
                  <c:v>0.49263577145151011</c:v>
                </c:pt>
                <c:pt idx="41">
                  <c:v>-0.4136170213726475</c:v>
                </c:pt>
                <c:pt idx="42">
                  <c:v>-1.277713570015869</c:v>
                </c:pt>
                <c:pt idx="43">
                  <c:v>-1.4745835386135795</c:v>
                </c:pt>
                <c:pt idx="44">
                  <c:v>-0.6059297010320881</c:v>
                </c:pt>
                <c:pt idx="45">
                  <c:v>0.2856730638728785</c:v>
                </c:pt>
                <c:pt idx="46">
                  <c:v>1.1534991473628076</c:v>
                </c:pt>
                <c:pt idx="47">
                  <c:v>2.0396368585684783</c:v>
                </c:pt>
                <c:pt idx="48">
                  <c:v>2.9912632165236728</c:v>
                </c:pt>
                <c:pt idx="49">
                  <c:v>3.7434249297184494</c:v>
                </c:pt>
                <c:pt idx="50">
                  <c:v>3.3601774471381738</c:v>
                </c:pt>
                <c:pt idx="51">
                  <c:v>2.7017871374413973</c:v>
                </c:pt>
                <c:pt idx="52">
                  <c:v>1.9154835102051835</c:v>
                </c:pt>
                <c:pt idx="53">
                  <c:v>1.0678459251652783</c:v>
                </c:pt>
                <c:pt idx="54">
                  <c:v>0.16535708898121049</c:v>
                </c:pt>
                <c:pt idx="55">
                  <c:v>-0.76002898627643378</c:v>
                </c:pt>
                <c:pt idx="56">
                  <c:v>-1.7013898339219042</c:v>
                </c:pt>
                <c:pt idx="57">
                  <c:v>-2.6397353757579385</c:v>
                </c:pt>
                <c:pt idx="58">
                  <c:v>-3.5275938319551279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93C-4E66-9DC7-5860591BD24B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B-593C-4E66-9DC7-5860591BD24B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-2.0273180704274529</c:v>
                </c:pt>
                <c:pt idx="1">
                  <c:v>-3.0445845459140903</c:v>
                </c:pt>
                <c:pt idx="2">
                  <c:v>-4.1759537164998557</c:v>
                </c:pt>
                <c:pt idx="3">
                  <c:v>-5.3575350458868023</c:v>
                </c:pt>
                <c:pt idx="4">
                  <c:v>-4.4761566816088907</c:v>
                </c:pt>
                <c:pt idx="5">
                  <c:v>-3.1934595263646957</c:v>
                </c:pt>
                <c:pt idx="6">
                  <c:v>-2.4433544876350899</c:v>
                </c:pt>
                <c:pt idx="7">
                  <c:v>-1.5495274844921965</c:v>
                </c:pt>
                <c:pt idx="8">
                  <c:v>-0.21071805858149539</c:v>
                </c:pt>
                <c:pt idx="9">
                  <c:v>1.861040742714287</c:v>
                </c:pt>
                <c:pt idx="10">
                  <c:v>3.2984823058920778</c:v>
                </c:pt>
                <c:pt idx="11">
                  <c:v>4.4605449699774606</c:v>
                </c:pt>
                <c:pt idx="12">
                  <c:v>5.0162838033523709</c:v>
                </c:pt>
                <c:pt idx="13">
                  <c:v>4.9390727103266272</c:v>
                </c:pt>
                <c:pt idx="14">
                  <c:v>4.4454009617664454</c:v>
                </c:pt>
                <c:pt idx="15">
                  <c:v>3.9378875164849321</c:v>
                </c:pt>
                <c:pt idx="16">
                  <c:v>3.049543944726826</c:v>
                </c:pt>
                <c:pt idx="17">
                  <c:v>2.4846780080020117</c:v>
                </c:pt>
                <c:pt idx="18">
                  <c:v>1.8388751363739979</c:v>
                </c:pt>
                <c:pt idx="19">
                  <c:v>8.0684060230850002E-4</c:v>
                </c:pt>
              </c:numCache>
            </c:numRef>
          </c:xVal>
          <c:yVal>
            <c:numRef>
              <c:f>Base!$I$2:$I$21</c:f>
              <c:numCache>
                <c:formatCode>General</c:formatCode>
                <c:ptCount val="20"/>
                <c:pt idx="0">
                  <c:v>-3.9125374805084308</c:v>
                </c:pt>
                <c:pt idx="1">
                  <c:v>-3.7181208981761369</c:v>
                </c:pt>
                <c:pt idx="2">
                  <c:v>-3.3724249995059421</c:v>
                </c:pt>
                <c:pt idx="3">
                  <c:v>-3.1515338713328247</c:v>
                </c:pt>
                <c:pt idx="4">
                  <c:v>-3.0108829995802058</c:v>
                </c:pt>
                <c:pt idx="5">
                  <c:v>-3.6442313290212587</c:v>
                </c:pt>
                <c:pt idx="6">
                  <c:v>-4.3670857533724705</c:v>
                </c:pt>
                <c:pt idx="7">
                  <c:v>-4.5773917036174225</c:v>
                </c:pt>
                <c:pt idx="8">
                  <c:v>-4.5876961271733219</c:v>
                </c:pt>
                <c:pt idx="9">
                  <c:v>-4.2303579115207368</c:v>
                </c:pt>
                <c:pt idx="10">
                  <c:v>-3.9454394600590197</c:v>
                </c:pt>
                <c:pt idx="11">
                  <c:v>-4.3535236653077476</c:v>
                </c:pt>
                <c:pt idx="12">
                  <c:v>-3.5853896339435787</c:v>
                </c:pt>
                <c:pt idx="13">
                  <c:v>-2.749149295228932</c:v>
                </c:pt>
                <c:pt idx="14">
                  <c:v>-2.7727444410369606</c:v>
                </c:pt>
                <c:pt idx="15">
                  <c:v>-2.8238556612138215</c:v>
                </c:pt>
                <c:pt idx="16">
                  <c:v>-2.9828861413719134</c:v>
                </c:pt>
                <c:pt idx="17">
                  <c:v>-3.38022905838177</c:v>
                </c:pt>
                <c:pt idx="18">
                  <c:v>-3.6261950619646335</c:v>
                </c:pt>
                <c:pt idx="19">
                  <c:v>-3.8408215045928955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93C-4E66-9DC7-5860591BD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7A9-4FBE-AC9B-F41407005A37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7A9-4FBE-AC9B-F41407005A37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A9-4FBE-AC9B-F41407005A37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7A9-4FBE-AC9B-F41407005A37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7A9-4FBE-AC9B-F41407005A37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7A9-4FBE-AC9B-F41407005A37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7A9-4FBE-AC9B-F41407005A37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7A9-4FBE-AC9B-F41407005A37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7A9-4FBE-AC9B-F41407005A37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7A9-4FBE-AC9B-F41407005A37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7A9-4FBE-AC9B-F41407005A37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7A9-4FBE-AC9B-F41407005A37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7A9-4FBE-AC9B-F41407005A37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7A9-4FBE-AC9B-F41407005A37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7A9-4FBE-AC9B-F41407005A37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7A9-4FBE-AC9B-F41407005A37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7A9-4FBE-AC9B-F41407005A37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7A9-4FBE-AC9B-F41407005A37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7A9-4FBE-AC9B-F41407005A37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7A9-4FBE-AC9B-F41407005A37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7A9-4FBE-AC9B-F41407005A37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7A9-4FBE-AC9B-F41407005A37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7A9-4FBE-AC9B-F41407005A37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7A9-4FBE-AC9B-F41407005A37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7A9-4FBE-AC9B-F41407005A37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7A9-4FBE-AC9B-F41407005A37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7A9-4FBE-AC9B-F41407005A37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7A9-4FBE-AC9B-F41407005A37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7A9-4FBE-AC9B-F41407005A37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7A9-4FBE-AC9B-F41407005A37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7A9-4FBE-AC9B-F41407005A37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7A9-4FBE-AC9B-F41407005A37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7A9-4FBE-AC9B-F41407005A37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7A9-4FBE-AC9B-F41407005A37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7A9-4FBE-AC9B-F41407005A37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7A9-4FBE-AC9B-F41407005A37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7A9-4FBE-AC9B-F41407005A37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7A9-4FBE-AC9B-F41407005A37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7A9-4FBE-AC9B-F41407005A37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40B-4B19-9790-B6DF4BE52E99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40B-4B19-9790-B6DF4BE52E99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40B-4B19-9790-B6DF4BE52E99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40B-4B19-9790-B6DF4BE52E99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40B-4B19-9790-B6DF4BE52E99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40B-4B19-9790-B6DF4BE52E99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40B-4B19-9790-B6DF4BE52E99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40B-4B19-9790-B6DF4BE52E99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40B-4B19-9790-B6DF4BE52E99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40B-4B19-9790-B6DF4BE52E99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40B-4B19-9790-B6DF4BE52E99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40B-4B19-9790-B6DF4BE52E99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40B-4B19-9790-B6DF4BE52E99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40B-4B19-9790-B6DF4BE52E99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40B-4B19-9790-B6DF4BE52E99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40B-4B19-9790-B6DF4BE52E99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40B-4B19-9790-B6DF4BE52E99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40B-4B19-9790-B6DF4BE52E99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40B-4B19-9790-B6DF4BE52E99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40B-4B19-9790-B6DF4BE52E99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40B-4B19-9790-B6DF4BE52E99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B40B-4B19-9790-B6DF4BE52E99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B40B-4B19-9790-B6DF4BE52E99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B40B-4B19-9790-B6DF4BE52E99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B40B-4B19-9790-B6DF4BE52E99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B40B-4B19-9790-B6DF4BE52E99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B40B-4B19-9790-B6DF4BE52E99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B40B-4B19-9790-B6DF4BE52E99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B40B-4B19-9790-B6DF4BE52E99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B40B-4B19-9790-B6DF4BE52E99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B40B-4B19-9790-B6DF4BE52E99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B40B-4B19-9790-B6DF4BE52E99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B40B-4B19-9790-B6DF4BE52E99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B40B-4B19-9790-B6DF4BE52E99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B40B-4B19-9790-B6DF4BE52E99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B40B-4B19-9790-B6DF4BE52E99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B40B-4B19-9790-B6DF4BE52E99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B40B-4B19-9790-B6DF4BE52E99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B40B-4B19-9790-B6DF4BE52E99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B40B-4B19-9790-B6DF4BE52E99}"/>
              </c:ext>
            </c:extLst>
          </c:dPt>
          <c:xVal>
            <c:numRef>
              <c:f>Combined!$A$2:$A$80</c:f>
              <c:numCache>
                <c:formatCode>General</c:formatCode>
                <c:ptCount val="79"/>
                <c:pt idx="0">
                  <c:v>-2.0273180704274529</c:v>
                </c:pt>
                <c:pt idx="1">
                  <c:v>-3.0445845459140903</c:v>
                </c:pt>
                <c:pt idx="2">
                  <c:v>-4.1759537164998557</c:v>
                </c:pt>
                <c:pt idx="3">
                  <c:v>-5.3575350458868023</c:v>
                </c:pt>
                <c:pt idx="4">
                  <c:v>-4.4761566816088907</c:v>
                </c:pt>
                <c:pt idx="5">
                  <c:v>-3.1934595263646957</c:v>
                </c:pt>
                <c:pt idx="6">
                  <c:v>-2.4433544876350899</c:v>
                </c:pt>
                <c:pt idx="7">
                  <c:v>-1.5495274844921965</c:v>
                </c:pt>
                <c:pt idx="8">
                  <c:v>-0.21071805858149539</c:v>
                </c:pt>
                <c:pt idx="9">
                  <c:v>1.861040742714287</c:v>
                </c:pt>
                <c:pt idx="10">
                  <c:v>3.2984823058920778</c:v>
                </c:pt>
                <c:pt idx="11">
                  <c:v>4.4605449699774606</c:v>
                </c:pt>
                <c:pt idx="12">
                  <c:v>5.0162838033523709</c:v>
                </c:pt>
                <c:pt idx="13">
                  <c:v>4.9390727103266272</c:v>
                </c:pt>
                <c:pt idx="14">
                  <c:v>4.4454009617664454</c:v>
                </c:pt>
                <c:pt idx="15">
                  <c:v>3.9378875164849321</c:v>
                </c:pt>
                <c:pt idx="16">
                  <c:v>3.049543944726826</c:v>
                </c:pt>
                <c:pt idx="17">
                  <c:v>2.4846780080020117</c:v>
                </c:pt>
                <c:pt idx="18">
                  <c:v>1.8388751363739979</c:v>
                </c:pt>
                <c:pt idx="19">
                  <c:v>8.0684060230850002E-4</c:v>
                </c:pt>
                <c:pt idx="20">
                  <c:v>-2.1190410532187999E-3</c:v>
                </c:pt>
                <c:pt idx="21">
                  <c:v>-8.9466557636820002E-4</c:v>
                </c:pt>
                <c:pt idx="22">
                  <c:v>-6.3846360167714002E-3</c:v>
                </c:pt>
                <c:pt idx="23">
                  <c:v>-7.5726541711680195E-2</c:v>
                </c:pt>
                <c:pt idx="24">
                  <c:v>-0.16516508388127499</c:v>
                </c:pt>
                <c:pt idx="25">
                  <c:v>-0.30389824637419022</c:v>
                </c:pt>
                <c:pt idx="26">
                  <c:v>-0.40857309881883819</c:v>
                </c:pt>
                <c:pt idx="27">
                  <c:v>-0.49250426785481549</c:v>
                </c:pt>
                <c:pt idx="28">
                  <c:v>-0.51861893647741508</c:v>
                </c:pt>
                <c:pt idx="29">
                  <c:v>-0.46910836370970338</c:v>
                </c:pt>
                <c:pt idx="30">
                  <c:v>-0.35873172321311703</c:v>
                </c:pt>
                <c:pt idx="31">
                  <c:v>-0.53406935388788801</c:v>
                </c:pt>
                <c:pt idx="32">
                  <c:v>-0.70186481021612268</c:v>
                </c:pt>
                <c:pt idx="33">
                  <c:v>-0.8726996193600236</c:v>
                </c:pt>
                <c:pt idx="34">
                  <c:v>-1.262023963885585</c:v>
                </c:pt>
                <c:pt idx="35">
                  <c:v>-1.4370666829921102</c:v>
                </c:pt>
                <c:pt idx="36">
                  <c:v>-1.5063662301244154</c:v>
                </c:pt>
                <c:pt idx="37">
                  <c:v>-1.6134055638939433</c:v>
                </c:pt>
                <c:pt idx="38">
                  <c:v>-1.7561081503006286</c:v>
                </c:pt>
                <c:pt idx="39">
                  <c:v>-1.9147378704007429</c:v>
                </c:pt>
                <c:pt idx="40">
                  <c:v>-1.8909601401172342</c:v>
                </c:pt>
                <c:pt idx="41">
                  <c:v>-1.8400731412421871</c:v>
                </c:pt>
                <c:pt idx="42">
                  <c:v>-1.7984440433705331</c:v>
                </c:pt>
                <c:pt idx="43">
                  <c:v>-1.7298813083826874</c:v>
                </c:pt>
                <c:pt idx="44">
                  <c:v>-1.4924952603624471</c:v>
                </c:pt>
                <c:pt idx="45">
                  <c:v>-1.2268235900950013</c:v>
                </c:pt>
                <c:pt idx="46">
                  <c:v>-0.96994835532398449</c:v>
                </c:pt>
                <c:pt idx="47">
                  <c:v>-0.72879489947174136</c:v>
                </c:pt>
                <c:pt idx="48">
                  <c:v>-0.49243831913507091</c:v>
                </c:pt>
                <c:pt idx="49">
                  <c:v>0.1296215355396271</c:v>
                </c:pt>
                <c:pt idx="50">
                  <c:v>0.37652726687463989</c:v>
                </c:pt>
                <c:pt idx="51">
                  <c:v>0.40612068877443519</c:v>
                </c:pt>
                <c:pt idx="52">
                  <c:v>0.36186430308532391</c:v>
                </c:pt>
                <c:pt idx="53">
                  <c:v>0.3405232726769587</c:v>
                </c:pt>
                <c:pt idx="54">
                  <c:v>0.40265226383934821</c:v>
                </c:pt>
                <c:pt idx="55">
                  <c:v>0.377903956655814</c:v>
                </c:pt>
                <c:pt idx="56">
                  <c:v>0.294970492045388</c:v>
                </c:pt>
                <c:pt idx="57">
                  <c:v>0.1370405451093204</c:v>
                </c:pt>
                <c:pt idx="58">
                  <c:v>9.8485881534955994E-2</c:v>
                </c:pt>
                <c:pt idx="59">
                  <c:v>5.4586355366224E-3</c:v>
                </c:pt>
                <c:pt idx="60">
                  <c:v>2.6167736940643799E-2</c:v>
                </c:pt>
                <c:pt idx="61">
                  <c:v>0.15581117074215611</c:v>
                </c:pt>
                <c:pt idx="62">
                  <c:v>0.36188979562057472</c:v>
                </c:pt>
                <c:pt idx="63">
                  <c:v>0.94863499544245389</c:v>
                </c:pt>
                <c:pt idx="64">
                  <c:v>1.1777667483877401</c:v>
                </c:pt>
                <c:pt idx="65">
                  <c:v>0.98999898884209003</c:v>
                </c:pt>
                <c:pt idx="66">
                  <c:v>0.6135891998290659</c:v>
                </c:pt>
                <c:pt idx="67">
                  <c:v>0.30163288449920911</c:v>
                </c:pt>
                <c:pt idx="68">
                  <c:v>0.38401372514896659</c:v>
                </c:pt>
                <c:pt idx="69">
                  <c:v>0.53803139296501845</c:v>
                </c:pt>
                <c:pt idx="70">
                  <c:v>0.67843102527060584</c:v>
                </c:pt>
                <c:pt idx="71">
                  <c:v>0.84775550409915013</c:v>
                </c:pt>
                <c:pt idx="72">
                  <c:v>0.97490882861232619</c:v>
                </c:pt>
                <c:pt idx="73">
                  <c:v>1.0684275359797368</c:v>
                </c:pt>
                <c:pt idx="74">
                  <c:v>1.1482784663834416</c:v>
                </c:pt>
                <c:pt idx="75">
                  <c:v>1.2325752278161364</c:v>
                </c:pt>
                <c:pt idx="76">
                  <c:v>1.3389888360076625</c:v>
                </c:pt>
                <c:pt idx="77">
                  <c:v>1.4409294991424801</c:v>
                </c:pt>
                <c:pt idx="78">
                  <c:v>1.5649129716649255</c:v>
                </c:pt>
              </c:numCache>
            </c:numRef>
          </c:xVal>
          <c:yVal>
            <c:numRef>
              <c:f>Combined!$B$2:$B$80</c:f>
              <c:numCache>
                <c:formatCode>General</c:formatCode>
                <c:ptCount val="79"/>
                <c:pt idx="0">
                  <c:v>9.7449269121728932</c:v>
                </c:pt>
                <c:pt idx="1">
                  <c:v>7.566770567853081</c:v>
                </c:pt>
                <c:pt idx="2">
                  <c:v>5.6932554952362704</c:v>
                </c:pt>
                <c:pt idx="3">
                  <c:v>3.390133439662149</c:v>
                </c:pt>
                <c:pt idx="4">
                  <c:v>0.85954101291214036</c:v>
                </c:pt>
                <c:pt idx="5">
                  <c:v>-1.6188070562381975</c:v>
                </c:pt>
                <c:pt idx="6">
                  <c:v>-3.8713701155560032</c:v>
                </c:pt>
                <c:pt idx="7">
                  <c:v>-6.1195572357704711</c:v>
                </c:pt>
                <c:pt idx="8">
                  <c:v>-7.6662562855741747</c:v>
                </c:pt>
                <c:pt idx="9">
                  <c:v>-7.5960610217403408</c:v>
                </c:pt>
                <c:pt idx="10">
                  <c:v>-5.9426728599505028</c:v>
                </c:pt>
                <c:pt idx="11">
                  <c:v>-4.4863774009376103</c:v>
                </c:pt>
                <c:pt idx="12">
                  <c:v>-2.7308909706937716</c:v>
                </c:pt>
                <c:pt idx="13">
                  <c:v>-0.75211663094423353</c:v>
                </c:pt>
                <c:pt idx="14">
                  <c:v>1.2489866307115891</c:v>
                </c:pt>
                <c:pt idx="15">
                  <c:v>2.9536625957445652</c:v>
                </c:pt>
                <c:pt idx="16">
                  <c:v>5.3041080272148378</c:v>
                </c:pt>
                <c:pt idx="17">
                  <c:v>7.37169282110382</c:v>
                </c:pt>
                <c:pt idx="18">
                  <c:v>9.4901356499565885</c:v>
                </c:pt>
                <c:pt idx="19">
                  <c:v>10.834717750549316</c:v>
                </c:pt>
                <c:pt idx="20">
                  <c:v>10.779005970932054</c:v>
                </c:pt>
                <c:pt idx="21">
                  <c:v>10.543247015723965</c:v>
                </c:pt>
                <c:pt idx="22">
                  <c:v>10.210066670320158</c:v>
                </c:pt>
                <c:pt idx="23">
                  <c:v>9.7982654174915957</c:v>
                </c:pt>
                <c:pt idx="24">
                  <c:v>9.2966299275292101</c:v>
                </c:pt>
                <c:pt idx="25">
                  <c:v>8.6460297151156613</c:v>
                </c:pt>
                <c:pt idx="26">
                  <c:v>7.8437019695972081</c:v>
                </c:pt>
                <c:pt idx="27">
                  <c:v>6.9365276332856869</c:v>
                </c:pt>
                <c:pt idx="28">
                  <c:v>6.5670039748351119</c:v>
                </c:pt>
                <c:pt idx="29">
                  <c:v>6.8232370511784382</c:v>
                </c:pt>
                <c:pt idx="30">
                  <c:v>7.0396332021519576</c:v>
                </c:pt>
                <c:pt idx="31">
                  <c:v>6.9201975356587404</c:v>
                </c:pt>
                <c:pt idx="32">
                  <c:v>6.390883731885495</c:v>
                </c:pt>
                <c:pt idx="33">
                  <c:v>5.7938229381995132</c:v>
                </c:pt>
                <c:pt idx="34">
                  <c:v>5.6550650258783568</c:v>
                </c:pt>
                <c:pt idx="35">
                  <c:v>5.5306277872036604</c:v>
                </c:pt>
                <c:pt idx="36">
                  <c:v>5.4504066115769838</c:v>
                </c:pt>
                <c:pt idx="37">
                  <c:v>5.2764577329115623</c:v>
                </c:pt>
                <c:pt idx="38">
                  <c:v>5.0383344849149658</c:v>
                </c:pt>
                <c:pt idx="39">
                  <c:v>4.7614014586610773</c:v>
                </c:pt>
                <c:pt idx="40">
                  <c:v>4.3570652367770251</c:v>
                </c:pt>
                <c:pt idx="41">
                  <c:v>3.8688298497377835</c:v>
                </c:pt>
                <c:pt idx="42">
                  <c:v>3.3603125049201319</c:v>
                </c:pt>
                <c:pt idx="43">
                  <c:v>2.7961515076456731</c:v>
                </c:pt>
                <c:pt idx="44">
                  <c:v>2.2241073431312297</c:v>
                </c:pt>
                <c:pt idx="45">
                  <c:v>1.6211421331405327</c:v>
                </c:pt>
                <c:pt idx="46">
                  <c:v>0.98094615593681256</c:v>
                </c:pt>
                <c:pt idx="47">
                  <c:v>0.3103706297419504</c:v>
                </c:pt>
                <c:pt idx="48">
                  <c:v>-0.46195418727029652</c:v>
                </c:pt>
                <c:pt idx="49">
                  <c:v>-1.1288367509841919</c:v>
                </c:pt>
                <c:pt idx="50">
                  <c:v>-1.8131296434348443</c:v>
                </c:pt>
                <c:pt idx="51">
                  <c:v>-2.0041632537473633</c:v>
                </c:pt>
                <c:pt idx="52">
                  <c:v>-2.0269331962029971</c:v>
                </c:pt>
                <c:pt idx="53">
                  <c:v>-1.9664721973279191</c:v>
                </c:pt>
                <c:pt idx="54">
                  <c:v>-1.8317666506702586</c:v>
                </c:pt>
                <c:pt idx="55">
                  <c:v>-1.6120193086353578</c:v>
                </c:pt>
                <c:pt idx="56">
                  <c:v>-1.3755549955431188</c:v>
                </c:pt>
                <c:pt idx="57">
                  <c:v>-1.1221801424142552</c:v>
                </c:pt>
                <c:pt idx="58">
                  <c:v>-1.1210776994477354</c:v>
                </c:pt>
                <c:pt idx="59">
                  <c:v>-1.1004088138923058</c:v>
                </c:pt>
                <c:pt idx="60">
                  <c:v>-1.1442955588058081</c:v>
                </c:pt>
                <c:pt idx="61">
                  <c:v>-1.3940287606801065</c:v>
                </c:pt>
                <c:pt idx="62">
                  <c:v>-1.6987607121011763</c:v>
                </c:pt>
                <c:pt idx="63">
                  <c:v>-2.2561085947856223</c:v>
                </c:pt>
                <c:pt idx="64">
                  <c:v>-2.5408011081346529</c:v>
                </c:pt>
                <c:pt idx="65">
                  <c:v>-2.6926649522664832</c:v>
                </c:pt>
                <c:pt idx="66">
                  <c:v>-2.8462977298285042</c:v>
                </c:pt>
                <c:pt idx="67">
                  <c:v>-2.9187564901775853</c:v>
                </c:pt>
                <c:pt idx="68">
                  <c:v>-2.8739650900740936</c:v>
                </c:pt>
                <c:pt idx="69">
                  <c:v>-3.2555416248080227</c:v>
                </c:pt>
                <c:pt idx="70">
                  <c:v>-4.1085110651871535</c:v>
                </c:pt>
                <c:pt idx="71">
                  <c:v>-4.786169219732149</c:v>
                </c:pt>
                <c:pt idx="72">
                  <c:v>-5.3221025084352007</c:v>
                </c:pt>
                <c:pt idx="73">
                  <c:v>-5.7637798352172513</c:v>
                </c:pt>
                <c:pt idx="74">
                  <c:v>-6.0802997591934096</c:v>
                </c:pt>
                <c:pt idx="75">
                  <c:v>-6.3299690581533223</c:v>
                </c:pt>
                <c:pt idx="76">
                  <c:v>-6.4951646993781837</c:v>
                </c:pt>
                <c:pt idx="77">
                  <c:v>-6.689811879366717</c:v>
                </c:pt>
                <c:pt idx="78">
                  <c:v>-7.0323059273650781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7A9-4FBE-AC9B-F41407005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Combined!$C$1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AD1-4E96-A8DD-66615EDD787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1-4E96-A8DD-66615EDD787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D1-4E96-A8DD-66615EDD787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D1-4E96-A8DD-66615EDD787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AD1-4E96-A8DD-66615EDD787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AD1-4E96-A8DD-66615EDD787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AD1-4E96-A8DD-66615EDD787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AD1-4E96-A8DD-66615EDD787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AD1-4E96-A8DD-66615EDD787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AD1-4E96-A8DD-66615EDD787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AD1-4E96-A8DD-66615EDD787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AD1-4E96-A8DD-66615EDD787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AD1-4E96-A8DD-66615EDD787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AD1-4E96-A8DD-66615EDD787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AD1-4E96-A8DD-66615EDD787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AD1-4E96-A8DD-66615EDD787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AD1-4E96-A8DD-66615EDD787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AD1-4E96-A8DD-66615EDD787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AD1-4E96-A8DD-66615EDD787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AD1-4E96-A8DD-66615EDD7872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AD1-4E96-A8DD-66615EDD7872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AD1-4E96-A8DD-66615EDD7872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AD1-4E96-A8DD-66615EDD7872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AD1-4E96-A8DD-66615EDD7872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AD1-4E96-A8DD-66615EDD7872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AD1-4E96-A8DD-66615EDD7872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AD1-4E96-A8DD-66615EDD7872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AD1-4E96-A8DD-66615EDD7872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AD1-4E96-A8DD-66615EDD7872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AD1-4E96-A8DD-66615EDD7872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AD1-4E96-A8DD-66615EDD7872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AD1-4E96-A8DD-66615EDD7872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AD1-4E96-A8DD-66615EDD7872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AD1-4E96-A8DD-66615EDD7872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AD1-4E96-A8DD-66615EDD7872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AD1-4E96-A8DD-66615EDD7872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AD1-4E96-A8DD-66615EDD7872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AD1-4E96-A8DD-66615EDD7872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AD1-4E96-A8DD-66615EDD7872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80BD-4B15-A046-52C9D80F19B4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80BD-4B15-A046-52C9D80F19B4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80BD-4B15-A046-52C9D80F19B4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80BD-4B15-A046-52C9D80F19B4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80BD-4B15-A046-52C9D80F19B4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80BD-4B15-A046-52C9D80F19B4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80BD-4B15-A046-52C9D80F19B4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80BD-4B15-A046-52C9D80F19B4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80BD-4B15-A046-52C9D80F19B4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80BD-4B15-A046-52C9D80F19B4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80BD-4B15-A046-52C9D80F19B4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80BD-4B15-A046-52C9D80F19B4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80BD-4B15-A046-52C9D80F19B4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80BD-4B15-A046-52C9D80F19B4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80BD-4B15-A046-52C9D80F19B4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80BD-4B15-A046-52C9D80F19B4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80BD-4B15-A046-52C9D80F19B4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80BD-4B15-A046-52C9D80F19B4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80BD-4B15-A046-52C9D80F19B4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80BD-4B15-A046-52C9D80F19B4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80BD-4B15-A046-52C9D80F19B4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80BD-4B15-A046-52C9D80F19B4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80BD-4B15-A046-52C9D80F19B4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80BD-4B15-A046-52C9D80F19B4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80BD-4B15-A046-52C9D80F19B4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80BD-4B15-A046-52C9D80F19B4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80BD-4B15-A046-52C9D80F19B4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80BD-4B15-A046-52C9D80F19B4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80BD-4B15-A046-52C9D80F19B4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80BD-4B15-A046-52C9D80F19B4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80BD-4B15-A046-52C9D80F19B4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80BD-4B15-A046-52C9D80F19B4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80BD-4B15-A046-52C9D80F19B4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0BD-4B15-A046-52C9D80F19B4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80BD-4B15-A046-52C9D80F19B4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80BD-4B15-A046-52C9D80F19B4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80BD-4B15-A046-52C9D80F19B4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80BD-4B15-A046-52C9D80F19B4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80BD-4B15-A046-52C9D80F19B4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80BD-4B15-A046-52C9D80F19B4}"/>
              </c:ext>
            </c:extLst>
          </c:dPt>
          <c:xVal>
            <c:numRef>
              <c:f>Combined!$C$2:$C$80</c:f>
              <c:numCache>
                <c:formatCode>General</c:formatCode>
                <c:ptCount val="79"/>
                <c:pt idx="0">
                  <c:v>-3.9125374805084308</c:v>
                </c:pt>
                <c:pt idx="1">
                  <c:v>-3.7181208981761369</c:v>
                </c:pt>
                <c:pt idx="2">
                  <c:v>-3.3724249995059421</c:v>
                </c:pt>
                <c:pt idx="3">
                  <c:v>-3.1515338713328247</c:v>
                </c:pt>
                <c:pt idx="4">
                  <c:v>-3.0108829995802058</c:v>
                </c:pt>
                <c:pt idx="5">
                  <c:v>-3.6442313290212587</c:v>
                </c:pt>
                <c:pt idx="6">
                  <c:v>-4.3670857533724705</c:v>
                </c:pt>
                <c:pt idx="7">
                  <c:v>-4.5773917036174225</c:v>
                </c:pt>
                <c:pt idx="8">
                  <c:v>-4.5876961271733219</c:v>
                </c:pt>
                <c:pt idx="9">
                  <c:v>-4.2303579115207368</c:v>
                </c:pt>
                <c:pt idx="10">
                  <c:v>-3.9454394600590197</c:v>
                </c:pt>
                <c:pt idx="11">
                  <c:v>-4.3535236653077476</c:v>
                </c:pt>
                <c:pt idx="12">
                  <c:v>-3.5853896339435787</c:v>
                </c:pt>
                <c:pt idx="13">
                  <c:v>-2.749149295228932</c:v>
                </c:pt>
                <c:pt idx="14">
                  <c:v>-2.7727444410369606</c:v>
                </c:pt>
                <c:pt idx="15">
                  <c:v>-2.8238556612138215</c:v>
                </c:pt>
                <c:pt idx="16">
                  <c:v>-2.9828861413719134</c:v>
                </c:pt>
                <c:pt idx="17">
                  <c:v>-3.38022905838177</c:v>
                </c:pt>
                <c:pt idx="18">
                  <c:v>-3.6261950619646335</c:v>
                </c:pt>
                <c:pt idx="19">
                  <c:v>-3.8408215045928955</c:v>
                </c:pt>
                <c:pt idx="20">
                  <c:v>-2.9050750744033538</c:v>
                </c:pt>
                <c:pt idx="21">
                  <c:v>-1.9926165920735159</c:v>
                </c:pt>
                <c:pt idx="22">
                  <c:v>-1.1170032194952413</c:v>
                </c:pt>
                <c:pt idx="23">
                  <c:v>-0.27309636104306428</c:v>
                </c:pt>
                <c:pt idx="24">
                  <c:v>0.52587586788446083</c:v>
                </c:pt>
                <c:pt idx="25">
                  <c:v>1.2004997428527466</c:v>
                </c:pt>
                <c:pt idx="26">
                  <c:v>1.6911418975681298</c:v>
                </c:pt>
                <c:pt idx="27">
                  <c:v>1.9208801629409717</c:v>
                </c:pt>
                <c:pt idx="28">
                  <c:v>1.2471772105222836</c:v>
                </c:pt>
                <c:pt idx="29">
                  <c:v>0.34131991847775422</c:v>
                </c:pt>
                <c:pt idx="30">
                  <c:v>-0.57159759202618188</c:v>
                </c:pt>
                <c:pt idx="31">
                  <c:v>-1.4453949410782077</c:v>
                </c:pt>
                <c:pt idx="32">
                  <c:v>-2.0241181181630257</c:v>
                </c:pt>
                <c:pt idx="33">
                  <c:v>-1.4164895599628524</c:v>
                </c:pt>
                <c:pt idx="34">
                  <c:v>-0.56312072758906906</c:v>
                </c:pt>
                <c:pt idx="35">
                  <c:v>0.3526734887003713</c:v>
                </c:pt>
                <c:pt idx="36">
                  <c:v>1.2957039139087561</c:v>
                </c:pt>
                <c:pt idx="37">
                  <c:v>2.2207310625197638</c:v>
                </c:pt>
                <c:pt idx="38">
                  <c:v>3.1267295205374541</c:v>
                </c:pt>
                <c:pt idx="39">
                  <c:v>4.0184753205510839</c:v>
                </c:pt>
                <c:pt idx="40">
                  <c:v>4.8669832813512945</c:v>
                </c:pt>
                <c:pt idx="41">
                  <c:v>5.6793828480477702</c:v>
                </c:pt>
                <c:pt idx="42">
                  <c:v>6.4761556647867788</c:v>
                </c:pt>
                <c:pt idx="43">
                  <c:v>7.2328481039386938</c:v>
                </c:pt>
                <c:pt idx="44">
                  <c:v>7.9504660269942491</c:v>
                </c:pt>
                <c:pt idx="45">
                  <c:v>8.6278006669846334</c:v>
                </c:pt>
                <c:pt idx="46">
                  <c:v>9.2829798302319837</c:v>
                </c:pt>
                <c:pt idx="47">
                  <c:v>9.9046918020094417</c:v>
                </c:pt>
                <c:pt idx="48">
                  <c:v>10.378619181582335</c:v>
                </c:pt>
                <c:pt idx="49">
                  <c:v>10.499812126159668</c:v>
                </c:pt>
                <c:pt idx="50">
                  <c:v>9.8917478366367817</c:v>
                </c:pt>
                <c:pt idx="51">
                  <c:v>8.9657377264920495</c:v>
                </c:pt>
                <c:pt idx="52">
                  <c:v>8.0042313008398072</c:v>
                </c:pt>
                <c:pt idx="53">
                  <c:v>7.0488523538917889</c:v>
                </c:pt>
                <c:pt idx="54">
                  <c:v>6.1021408398658563</c:v>
                </c:pt>
                <c:pt idx="55">
                  <c:v>5.1654891641646747</c:v>
                </c:pt>
                <c:pt idx="56">
                  <c:v>4.2371867158632037</c:v>
                </c:pt>
                <c:pt idx="57">
                  <c:v>3.3426032917827566</c:v>
                </c:pt>
                <c:pt idx="58">
                  <c:v>2.3994091727357629</c:v>
                </c:pt>
                <c:pt idx="59">
                  <c:v>1.4475197009785215</c:v>
                </c:pt>
                <c:pt idx="60">
                  <c:v>0.49263577145151011</c:v>
                </c:pt>
                <c:pt idx="61">
                  <c:v>-0.4136170213726475</c:v>
                </c:pt>
                <c:pt idx="62">
                  <c:v>-1.277713570015869</c:v>
                </c:pt>
                <c:pt idx="63">
                  <c:v>-1.4745835386135795</c:v>
                </c:pt>
                <c:pt idx="64">
                  <c:v>-0.6059297010320881</c:v>
                </c:pt>
                <c:pt idx="65">
                  <c:v>0.2856730638728785</c:v>
                </c:pt>
                <c:pt idx="66">
                  <c:v>1.1534991473628076</c:v>
                </c:pt>
                <c:pt idx="67">
                  <c:v>2.0396368585684783</c:v>
                </c:pt>
                <c:pt idx="68">
                  <c:v>2.9912632165236728</c:v>
                </c:pt>
                <c:pt idx="69">
                  <c:v>3.7434249297184494</c:v>
                </c:pt>
                <c:pt idx="70">
                  <c:v>3.3601774471381738</c:v>
                </c:pt>
                <c:pt idx="71">
                  <c:v>2.7017871374413973</c:v>
                </c:pt>
                <c:pt idx="72">
                  <c:v>1.9154835102051835</c:v>
                </c:pt>
                <c:pt idx="73">
                  <c:v>1.0678459251652783</c:v>
                </c:pt>
                <c:pt idx="74">
                  <c:v>0.16535708898121049</c:v>
                </c:pt>
                <c:pt idx="75">
                  <c:v>-0.76002898627643378</c:v>
                </c:pt>
                <c:pt idx="76">
                  <c:v>-1.7013898339219042</c:v>
                </c:pt>
                <c:pt idx="77">
                  <c:v>-2.6397353757579385</c:v>
                </c:pt>
                <c:pt idx="78">
                  <c:v>-3.5275938319551279</c:v>
                </c:pt>
              </c:numCache>
            </c:numRef>
          </c:xVal>
          <c:yVal>
            <c:numRef>
              <c:f>Combined!$B$2:$B$80</c:f>
              <c:numCache>
                <c:formatCode>General</c:formatCode>
                <c:ptCount val="79"/>
                <c:pt idx="0">
                  <c:v>9.7449269121728932</c:v>
                </c:pt>
                <c:pt idx="1">
                  <c:v>7.566770567853081</c:v>
                </c:pt>
                <c:pt idx="2">
                  <c:v>5.6932554952362704</c:v>
                </c:pt>
                <c:pt idx="3">
                  <c:v>3.390133439662149</c:v>
                </c:pt>
                <c:pt idx="4">
                  <c:v>0.85954101291214036</c:v>
                </c:pt>
                <c:pt idx="5">
                  <c:v>-1.6188070562381975</c:v>
                </c:pt>
                <c:pt idx="6">
                  <c:v>-3.8713701155560032</c:v>
                </c:pt>
                <c:pt idx="7">
                  <c:v>-6.1195572357704711</c:v>
                </c:pt>
                <c:pt idx="8">
                  <c:v>-7.6662562855741747</c:v>
                </c:pt>
                <c:pt idx="9">
                  <c:v>-7.5960610217403408</c:v>
                </c:pt>
                <c:pt idx="10">
                  <c:v>-5.9426728599505028</c:v>
                </c:pt>
                <c:pt idx="11">
                  <c:v>-4.4863774009376103</c:v>
                </c:pt>
                <c:pt idx="12">
                  <c:v>-2.7308909706937716</c:v>
                </c:pt>
                <c:pt idx="13">
                  <c:v>-0.75211663094423353</c:v>
                </c:pt>
                <c:pt idx="14">
                  <c:v>1.2489866307115891</c:v>
                </c:pt>
                <c:pt idx="15">
                  <c:v>2.9536625957445652</c:v>
                </c:pt>
                <c:pt idx="16">
                  <c:v>5.3041080272148378</c:v>
                </c:pt>
                <c:pt idx="17">
                  <c:v>7.37169282110382</c:v>
                </c:pt>
                <c:pt idx="18">
                  <c:v>9.4901356499565885</c:v>
                </c:pt>
                <c:pt idx="19">
                  <c:v>10.834717750549316</c:v>
                </c:pt>
                <c:pt idx="20">
                  <c:v>10.779005970932054</c:v>
                </c:pt>
                <c:pt idx="21">
                  <c:v>10.543247015723965</c:v>
                </c:pt>
                <c:pt idx="22">
                  <c:v>10.210066670320158</c:v>
                </c:pt>
                <c:pt idx="23">
                  <c:v>9.7982654174915957</c:v>
                </c:pt>
                <c:pt idx="24">
                  <c:v>9.2966299275292101</c:v>
                </c:pt>
                <c:pt idx="25">
                  <c:v>8.6460297151156613</c:v>
                </c:pt>
                <c:pt idx="26">
                  <c:v>7.8437019695972081</c:v>
                </c:pt>
                <c:pt idx="27">
                  <c:v>6.9365276332856869</c:v>
                </c:pt>
                <c:pt idx="28">
                  <c:v>6.5670039748351119</c:v>
                </c:pt>
                <c:pt idx="29">
                  <c:v>6.8232370511784382</c:v>
                </c:pt>
                <c:pt idx="30">
                  <c:v>7.0396332021519576</c:v>
                </c:pt>
                <c:pt idx="31">
                  <c:v>6.9201975356587404</c:v>
                </c:pt>
                <c:pt idx="32">
                  <c:v>6.390883731885495</c:v>
                </c:pt>
                <c:pt idx="33">
                  <c:v>5.7938229381995132</c:v>
                </c:pt>
                <c:pt idx="34">
                  <c:v>5.6550650258783568</c:v>
                </c:pt>
                <c:pt idx="35">
                  <c:v>5.5306277872036604</c:v>
                </c:pt>
                <c:pt idx="36">
                  <c:v>5.4504066115769838</c:v>
                </c:pt>
                <c:pt idx="37">
                  <c:v>5.2764577329115623</c:v>
                </c:pt>
                <c:pt idx="38">
                  <c:v>5.0383344849149658</c:v>
                </c:pt>
                <c:pt idx="39">
                  <c:v>4.7614014586610773</c:v>
                </c:pt>
                <c:pt idx="40">
                  <c:v>4.3570652367770251</c:v>
                </c:pt>
                <c:pt idx="41">
                  <c:v>3.8688298497377835</c:v>
                </c:pt>
                <c:pt idx="42">
                  <c:v>3.3603125049201319</c:v>
                </c:pt>
                <c:pt idx="43">
                  <c:v>2.7961515076456731</c:v>
                </c:pt>
                <c:pt idx="44">
                  <c:v>2.2241073431312297</c:v>
                </c:pt>
                <c:pt idx="45">
                  <c:v>1.6211421331405327</c:v>
                </c:pt>
                <c:pt idx="46">
                  <c:v>0.98094615593681256</c:v>
                </c:pt>
                <c:pt idx="47">
                  <c:v>0.3103706297419504</c:v>
                </c:pt>
                <c:pt idx="48">
                  <c:v>-0.46195418727029652</c:v>
                </c:pt>
                <c:pt idx="49">
                  <c:v>-1.1288367509841919</c:v>
                </c:pt>
                <c:pt idx="50">
                  <c:v>-1.8131296434348443</c:v>
                </c:pt>
                <c:pt idx="51">
                  <c:v>-2.0041632537473633</c:v>
                </c:pt>
                <c:pt idx="52">
                  <c:v>-2.0269331962029971</c:v>
                </c:pt>
                <c:pt idx="53">
                  <c:v>-1.9664721973279191</c:v>
                </c:pt>
                <c:pt idx="54">
                  <c:v>-1.8317666506702586</c:v>
                </c:pt>
                <c:pt idx="55">
                  <c:v>-1.6120193086353578</c:v>
                </c:pt>
                <c:pt idx="56">
                  <c:v>-1.3755549955431188</c:v>
                </c:pt>
                <c:pt idx="57">
                  <c:v>-1.1221801424142552</c:v>
                </c:pt>
                <c:pt idx="58">
                  <c:v>-1.1210776994477354</c:v>
                </c:pt>
                <c:pt idx="59">
                  <c:v>-1.1004088138923058</c:v>
                </c:pt>
                <c:pt idx="60">
                  <c:v>-1.1442955588058081</c:v>
                </c:pt>
                <c:pt idx="61">
                  <c:v>-1.3940287606801065</c:v>
                </c:pt>
                <c:pt idx="62">
                  <c:v>-1.6987607121011763</c:v>
                </c:pt>
                <c:pt idx="63">
                  <c:v>-2.2561085947856223</c:v>
                </c:pt>
                <c:pt idx="64">
                  <c:v>-2.5408011081346529</c:v>
                </c:pt>
                <c:pt idx="65">
                  <c:v>-2.6926649522664832</c:v>
                </c:pt>
                <c:pt idx="66">
                  <c:v>-2.8462977298285042</c:v>
                </c:pt>
                <c:pt idx="67">
                  <c:v>-2.9187564901775853</c:v>
                </c:pt>
                <c:pt idx="68">
                  <c:v>-2.8739650900740936</c:v>
                </c:pt>
                <c:pt idx="69">
                  <c:v>-3.2555416248080227</c:v>
                </c:pt>
                <c:pt idx="70">
                  <c:v>-4.1085110651871535</c:v>
                </c:pt>
                <c:pt idx="71">
                  <c:v>-4.786169219732149</c:v>
                </c:pt>
                <c:pt idx="72">
                  <c:v>-5.3221025084352007</c:v>
                </c:pt>
                <c:pt idx="73">
                  <c:v>-5.7637798352172513</c:v>
                </c:pt>
                <c:pt idx="74">
                  <c:v>-6.0802997591934096</c:v>
                </c:pt>
                <c:pt idx="75">
                  <c:v>-6.3299690581533223</c:v>
                </c:pt>
                <c:pt idx="76">
                  <c:v>-6.4951646993781837</c:v>
                </c:pt>
                <c:pt idx="77">
                  <c:v>-6.689811879366717</c:v>
                </c:pt>
                <c:pt idx="78">
                  <c:v>-7.0323059273650781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AD1-4E96-A8DD-66615EDD7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3A-430B-9463-E6DE3540110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3A-430B-9463-E6DE35401103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3A-430B-9463-E6DE35401103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3A-430B-9463-E6DE35401103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C3A-430B-9463-E6DE35401103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C3A-430B-9463-E6DE35401103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C3A-430B-9463-E6DE35401103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C3A-430B-9463-E6DE35401103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C3A-430B-9463-E6DE35401103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C3A-430B-9463-E6DE35401103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C3A-430B-9463-E6DE35401103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C3A-430B-9463-E6DE35401103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C3A-430B-9463-E6DE35401103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C3A-430B-9463-E6DE35401103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C3A-430B-9463-E6DE35401103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C3A-430B-9463-E6DE35401103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C3A-430B-9463-E6DE35401103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C3A-430B-9463-E6DE35401103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C3A-430B-9463-E6DE35401103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C3A-430B-9463-E6DE35401103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C3A-430B-9463-E6DE35401103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C3A-430B-9463-E6DE35401103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C3A-430B-9463-E6DE35401103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C3A-430B-9463-E6DE35401103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C3A-430B-9463-E6DE35401103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C3A-430B-9463-E6DE35401103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C3A-430B-9463-E6DE35401103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C3A-430B-9463-E6DE35401103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C3A-430B-9463-E6DE35401103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C3A-430B-9463-E6DE35401103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C3A-430B-9463-E6DE35401103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C3A-430B-9463-E6DE35401103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C3A-430B-9463-E6DE35401103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C3A-430B-9463-E6DE35401103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C3A-430B-9463-E6DE35401103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C3A-430B-9463-E6DE35401103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C3A-430B-9463-E6DE35401103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C3A-430B-9463-E6DE35401103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C3A-430B-9463-E6DE35401103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914-4E93-8970-84F3611058F6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914-4E93-8970-84F3611058F6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914-4E93-8970-84F3611058F6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914-4E93-8970-84F3611058F6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914-4E93-8970-84F3611058F6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914-4E93-8970-84F3611058F6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914-4E93-8970-84F3611058F6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914-4E93-8970-84F3611058F6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914-4E93-8970-84F3611058F6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914-4E93-8970-84F3611058F6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914-4E93-8970-84F3611058F6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914-4E93-8970-84F3611058F6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914-4E93-8970-84F3611058F6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914-4E93-8970-84F3611058F6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914-4E93-8970-84F3611058F6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914-4E93-8970-84F3611058F6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914-4E93-8970-84F3611058F6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914-4E93-8970-84F3611058F6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914-4E93-8970-84F3611058F6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914-4E93-8970-84F3611058F6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914-4E93-8970-84F3611058F6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914-4E93-8970-84F3611058F6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914-4E93-8970-84F3611058F6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914-4E93-8970-84F3611058F6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914-4E93-8970-84F3611058F6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914-4E93-8970-84F3611058F6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914-4E93-8970-84F3611058F6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914-4E93-8970-84F3611058F6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914-4E93-8970-84F3611058F6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914-4E93-8970-84F3611058F6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914-4E93-8970-84F3611058F6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914-4E93-8970-84F3611058F6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914-4E93-8970-84F3611058F6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914-4E93-8970-84F3611058F6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914-4E93-8970-84F3611058F6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914-4E93-8970-84F3611058F6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914-4E93-8970-84F3611058F6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914-4E93-8970-84F3611058F6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914-4E93-8970-84F3611058F6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914-4E93-8970-84F3611058F6}"/>
              </c:ext>
            </c:extLst>
          </c:dPt>
          <c:xVal>
            <c:numRef>
              <c:f>Combined!$A$2:$A$80</c:f>
              <c:numCache>
                <c:formatCode>General</c:formatCode>
                <c:ptCount val="79"/>
                <c:pt idx="0">
                  <c:v>-2.0273180704274529</c:v>
                </c:pt>
                <c:pt idx="1">
                  <c:v>-3.0445845459140903</c:v>
                </c:pt>
                <c:pt idx="2">
                  <c:v>-4.1759537164998557</c:v>
                </c:pt>
                <c:pt idx="3">
                  <c:v>-5.3575350458868023</c:v>
                </c:pt>
                <c:pt idx="4">
                  <c:v>-4.4761566816088907</c:v>
                </c:pt>
                <c:pt idx="5">
                  <c:v>-3.1934595263646957</c:v>
                </c:pt>
                <c:pt idx="6">
                  <c:v>-2.4433544876350899</c:v>
                </c:pt>
                <c:pt idx="7">
                  <c:v>-1.5495274844921965</c:v>
                </c:pt>
                <c:pt idx="8">
                  <c:v>-0.21071805858149539</c:v>
                </c:pt>
                <c:pt idx="9">
                  <c:v>1.861040742714287</c:v>
                </c:pt>
                <c:pt idx="10">
                  <c:v>3.2984823058920778</c:v>
                </c:pt>
                <c:pt idx="11">
                  <c:v>4.4605449699774606</c:v>
                </c:pt>
                <c:pt idx="12">
                  <c:v>5.0162838033523709</c:v>
                </c:pt>
                <c:pt idx="13">
                  <c:v>4.9390727103266272</c:v>
                </c:pt>
                <c:pt idx="14">
                  <c:v>4.4454009617664454</c:v>
                </c:pt>
                <c:pt idx="15">
                  <c:v>3.9378875164849321</c:v>
                </c:pt>
                <c:pt idx="16">
                  <c:v>3.049543944726826</c:v>
                </c:pt>
                <c:pt idx="17">
                  <c:v>2.4846780080020117</c:v>
                </c:pt>
                <c:pt idx="18">
                  <c:v>1.8388751363739979</c:v>
                </c:pt>
                <c:pt idx="19">
                  <c:v>8.0684060230850002E-4</c:v>
                </c:pt>
                <c:pt idx="20">
                  <c:v>-2.1190410532187999E-3</c:v>
                </c:pt>
                <c:pt idx="21">
                  <c:v>-8.9466557636820002E-4</c:v>
                </c:pt>
                <c:pt idx="22">
                  <c:v>-6.3846360167714002E-3</c:v>
                </c:pt>
                <c:pt idx="23">
                  <c:v>-7.5726541711680195E-2</c:v>
                </c:pt>
                <c:pt idx="24">
                  <c:v>-0.16516508388127499</c:v>
                </c:pt>
                <c:pt idx="25">
                  <c:v>-0.30389824637419022</c:v>
                </c:pt>
                <c:pt idx="26">
                  <c:v>-0.40857309881883819</c:v>
                </c:pt>
                <c:pt idx="27">
                  <c:v>-0.49250426785481549</c:v>
                </c:pt>
                <c:pt idx="28">
                  <c:v>-0.51861893647741508</c:v>
                </c:pt>
                <c:pt idx="29">
                  <c:v>-0.46910836370970338</c:v>
                </c:pt>
                <c:pt idx="30">
                  <c:v>-0.35873172321311703</c:v>
                </c:pt>
                <c:pt idx="31">
                  <c:v>-0.53406935388788801</c:v>
                </c:pt>
                <c:pt idx="32">
                  <c:v>-0.70186481021612268</c:v>
                </c:pt>
                <c:pt idx="33">
                  <c:v>-0.8726996193600236</c:v>
                </c:pt>
                <c:pt idx="34">
                  <c:v>-1.262023963885585</c:v>
                </c:pt>
                <c:pt idx="35">
                  <c:v>-1.4370666829921102</c:v>
                </c:pt>
                <c:pt idx="36">
                  <c:v>-1.5063662301244154</c:v>
                </c:pt>
                <c:pt idx="37">
                  <c:v>-1.6134055638939433</c:v>
                </c:pt>
                <c:pt idx="38">
                  <c:v>-1.7561081503006286</c:v>
                </c:pt>
                <c:pt idx="39">
                  <c:v>-1.9147378704007429</c:v>
                </c:pt>
                <c:pt idx="40">
                  <c:v>-1.8909601401172342</c:v>
                </c:pt>
                <c:pt idx="41">
                  <c:v>-1.8400731412421871</c:v>
                </c:pt>
                <c:pt idx="42">
                  <c:v>-1.7984440433705331</c:v>
                </c:pt>
                <c:pt idx="43">
                  <c:v>-1.7298813083826874</c:v>
                </c:pt>
                <c:pt idx="44">
                  <c:v>-1.4924952603624471</c:v>
                </c:pt>
                <c:pt idx="45">
                  <c:v>-1.2268235900950013</c:v>
                </c:pt>
                <c:pt idx="46">
                  <c:v>-0.96994835532398449</c:v>
                </c:pt>
                <c:pt idx="47">
                  <c:v>-0.72879489947174136</c:v>
                </c:pt>
                <c:pt idx="48">
                  <c:v>-0.49243831913507091</c:v>
                </c:pt>
                <c:pt idx="49">
                  <c:v>0.1296215355396271</c:v>
                </c:pt>
                <c:pt idx="50">
                  <c:v>0.37652726687463989</c:v>
                </c:pt>
                <c:pt idx="51">
                  <c:v>0.40612068877443519</c:v>
                </c:pt>
                <c:pt idx="52">
                  <c:v>0.36186430308532391</c:v>
                </c:pt>
                <c:pt idx="53">
                  <c:v>0.3405232726769587</c:v>
                </c:pt>
                <c:pt idx="54">
                  <c:v>0.40265226383934821</c:v>
                </c:pt>
                <c:pt idx="55">
                  <c:v>0.377903956655814</c:v>
                </c:pt>
                <c:pt idx="56">
                  <c:v>0.294970492045388</c:v>
                </c:pt>
                <c:pt idx="57">
                  <c:v>0.1370405451093204</c:v>
                </c:pt>
                <c:pt idx="58">
                  <c:v>9.8485881534955994E-2</c:v>
                </c:pt>
                <c:pt idx="59">
                  <c:v>5.4586355366224E-3</c:v>
                </c:pt>
                <c:pt idx="60">
                  <c:v>2.6167736940643799E-2</c:v>
                </c:pt>
                <c:pt idx="61">
                  <c:v>0.15581117074215611</c:v>
                </c:pt>
                <c:pt idx="62">
                  <c:v>0.36188979562057472</c:v>
                </c:pt>
                <c:pt idx="63">
                  <c:v>0.94863499544245389</c:v>
                </c:pt>
                <c:pt idx="64">
                  <c:v>1.1777667483877401</c:v>
                </c:pt>
                <c:pt idx="65">
                  <c:v>0.98999898884209003</c:v>
                </c:pt>
                <c:pt idx="66">
                  <c:v>0.6135891998290659</c:v>
                </c:pt>
                <c:pt idx="67">
                  <c:v>0.30163288449920911</c:v>
                </c:pt>
                <c:pt idx="68">
                  <c:v>0.38401372514896659</c:v>
                </c:pt>
                <c:pt idx="69">
                  <c:v>0.53803139296501845</c:v>
                </c:pt>
                <c:pt idx="70">
                  <c:v>0.67843102527060584</c:v>
                </c:pt>
                <c:pt idx="71">
                  <c:v>0.84775550409915013</c:v>
                </c:pt>
                <c:pt idx="72">
                  <c:v>0.97490882861232619</c:v>
                </c:pt>
                <c:pt idx="73">
                  <c:v>1.0684275359797368</c:v>
                </c:pt>
                <c:pt idx="74">
                  <c:v>1.1482784663834416</c:v>
                </c:pt>
                <c:pt idx="75">
                  <c:v>1.2325752278161364</c:v>
                </c:pt>
                <c:pt idx="76">
                  <c:v>1.3389888360076625</c:v>
                </c:pt>
                <c:pt idx="77">
                  <c:v>1.4409294991424801</c:v>
                </c:pt>
                <c:pt idx="78">
                  <c:v>1.5649129716649255</c:v>
                </c:pt>
              </c:numCache>
            </c:numRef>
          </c:xVal>
          <c:yVal>
            <c:numRef>
              <c:f>Combined!$C$2:$C$80</c:f>
              <c:numCache>
                <c:formatCode>General</c:formatCode>
                <c:ptCount val="79"/>
                <c:pt idx="0">
                  <c:v>-3.9125374805084308</c:v>
                </c:pt>
                <c:pt idx="1">
                  <c:v>-3.7181208981761369</c:v>
                </c:pt>
                <c:pt idx="2">
                  <c:v>-3.3724249995059421</c:v>
                </c:pt>
                <c:pt idx="3">
                  <c:v>-3.1515338713328247</c:v>
                </c:pt>
                <c:pt idx="4">
                  <c:v>-3.0108829995802058</c:v>
                </c:pt>
                <c:pt idx="5">
                  <c:v>-3.6442313290212587</c:v>
                </c:pt>
                <c:pt idx="6">
                  <c:v>-4.3670857533724705</c:v>
                </c:pt>
                <c:pt idx="7">
                  <c:v>-4.5773917036174225</c:v>
                </c:pt>
                <c:pt idx="8">
                  <c:v>-4.5876961271733219</c:v>
                </c:pt>
                <c:pt idx="9">
                  <c:v>-4.2303579115207368</c:v>
                </c:pt>
                <c:pt idx="10">
                  <c:v>-3.9454394600590197</c:v>
                </c:pt>
                <c:pt idx="11">
                  <c:v>-4.3535236653077476</c:v>
                </c:pt>
                <c:pt idx="12">
                  <c:v>-3.5853896339435787</c:v>
                </c:pt>
                <c:pt idx="13">
                  <c:v>-2.749149295228932</c:v>
                </c:pt>
                <c:pt idx="14">
                  <c:v>-2.7727444410369606</c:v>
                </c:pt>
                <c:pt idx="15">
                  <c:v>-2.8238556612138215</c:v>
                </c:pt>
                <c:pt idx="16">
                  <c:v>-2.9828861413719134</c:v>
                </c:pt>
                <c:pt idx="17">
                  <c:v>-3.38022905838177</c:v>
                </c:pt>
                <c:pt idx="18">
                  <c:v>-3.6261950619646335</c:v>
                </c:pt>
                <c:pt idx="19">
                  <c:v>-3.8408215045928955</c:v>
                </c:pt>
                <c:pt idx="20">
                  <c:v>-2.9050750744033538</c:v>
                </c:pt>
                <c:pt idx="21">
                  <c:v>-1.9926165920735159</c:v>
                </c:pt>
                <c:pt idx="22">
                  <c:v>-1.1170032194952413</c:v>
                </c:pt>
                <c:pt idx="23">
                  <c:v>-0.27309636104306428</c:v>
                </c:pt>
                <c:pt idx="24">
                  <c:v>0.52587586788446083</c:v>
                </c:pt>
                <c:pt idx="25">
                  <c:v>1.2004997428527466</c:v>
                </c:pt>
                <c:pt idx="26">
                  <c:v>1.6911418975681298</c:v>
                </c:pt>
                <c:pt idx="27">
                  <c:v>1.9208801629409717</c:v>
                </c:pt>
                <c:pt idx="28">
                  <c:v>1.2471772105222836</c:v>
                </c:pt>
                <c:pt idx="29">
                  <c:v>0.34131991847775422</c:v>
                </c:pt>
                <c:pt idx="30">
                  <c:v>-0.57159759202618188</c:v>
                </c:pt>
                <c:pt idx="31">
                  <c:v>-1.4453949410782077</c:v>
                </c:pt>
                <c:pt idx="32">
                  <c:v>-2.0241181181630257</c:v>
                </c:pt>
                <c:pt idx="33">
                  <c:v>-1.4164895599628524</c:v>
                </c:pt>
                <c:pt idx="34">
                  <c:v>-0.56312072758906906</c:v>
                </c:pt>
                <c:pt idx="35">
                  <c:v>0.3526734887003713</c:v>
                </c:pt>
                <c:pt idx="36">
                  <c:v>1.2957039139087561</c:v>
                </c:pt>
                <c:pt idx="37">
                  <c:v>2.2207310625197638</c:v>
                </c:pt>
                <c:pt idx="38">
                  <c:v>3.1267295205374541</c:v>
                </c:pt>
                <c:pt idx="39">
                  <c:v>4.0184753205510839</c:v>
                </c:pt>
                <c:pt idx="40">
                  <c:v>4.8669832813512945</c:v>
                </c:pt>
                <c:pt idx="41">
                  <c:v>5.6793828480477702</c:v>
                </c:pt>
                <c:pt idx="42">
                  <c:v>6.4761556647867788</c:v>
                </c:pt>
                <c:pt idx="43">
                  <c:v>7.2328481039386938</c:v>
                </c:pt>
                <c:pt idx="44">
                  <c:v>7.9504660269942491</c:v>
                </c:pt>
                <c:pt idx="45">
                  <c:v>8.6278006669846334</c:v>
                </c:pt>
                <c:pt idx="46">
                  <c:v>9.2829798302319837</c:v>
                </c:pt>
                <c:pt idx="47">
                  <c:v>9.9046918020094417</c:v>
                </c:pt>
                <c:pt idx="48">
                  <c:v>10.378619181582335</c:v>
                </c:pt>
                <c:pt idx="49">
                  <c:v>10.499812126159668</c:v>
                </c:pt>
                <c:pt idx="50">
                  <c:v>9.8917478366367817</c:v>
                </c:pt>
                <c:pt idx="51">
                  <c:v>8.9657377264920495</c:v>
                </c:pt>
                <c:pt idx="52">
                  <c:v>8.0042313008398072</c:v>
                </c:pt>
                <c:pt idx="53">
                  <c:v>7.0488523538917889</c:v>
                </c:pt>
                <c:pt idx="54">
                  <c:v>6.1021408398658563</c:v>
                </c:pt>
                <c:pt idx="55">
                  <c:v>5.1654891641646747</c:v>
                </c:pt>
                <c:pt idx="56">
                  <c:v>4.2371867158632037</c:v>
                </c:pt>
                <c:pt idx="57">
                  <c:v>3.3426032917827566</c:v>
                </c:pt>
                <c:pt idx="58">
                  <c:v>2.3994091727357629</c:v>
                </c:pt>
                <c:pt idx="59">
                  <c:v>1.4475197009785215</c:v>
                </c:pt>
                <c:pt idx="60">
                  <c:v>0.49263577145151011</c:v>
                </c:pt>
                <c:pt idx="61">
                  <c:v>-0.4136170213726475</c:v>
                </c:pt>
                <c:pt idx="62">
                  <c:v>-1.277713570015869</c:v>
                </c:pt>
                <c:pt idx="63">
                  <c:v>-1.4745835386135795</c:v>
                </c:pt>
                <c:pt idx="64">
                  <c:v>-0.6059297010320881</c:v>
                </c:pt>
                <c:pt idx="65">
                  <c:v>0.2856730638728785</c:v>
                </c:pt>
                <c:pt idx="66">
                  <c:v>1.1534991473628076</c:v>
                </c:pt>
                <c:pt idx="67">
                  <c:v>2.0396368585684783</c:v>
                </c:pt>
                <c:pt idx="68">
                  <c:v>2.9912632165236728</c:v>
                </c:pt>
                <c:pt idx="69">
                  <c:v>3.7434249297184494</c:v>
                </c:pt>
                <c:pt idx="70">
                  <c:v>3.3601774471381738</c:v>
                </c:pt>
                <c:pt idx="71">
                  <c:v>2.7017871374413973</c:v>
                </c:pt>
                <c:pt idx="72">
                  <c:v>1.9154835102051835</c:v>
                </c:pt>
                <c:pt idx="73">
                  <c:v>1.0678459251652783</c:v>
                </c:pt>
                <c:pt idx="74">
                  <c:v>0.16535708898121049</c:v>
                </c:pt>
                <c:pt idx="75">
                  <c:v>-0.76002898627643378</c:v>
                </c:pt>
                <c:pt idx="76">
                  <c:v>-1.7013898339219042</c:v>
                </c:pt>
                <c:pt idx="77">
                  <c:v>-2.6397353757579385</c:v>
                </c:pt>
                <c:pt idx="78">
                  <c:v>-3.5275938319551279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C3A-430B-9463-E6DE35401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3" name="cht_Top">
          <a:extLst>
            <a:ext uri="{FF2B5EF4-FFF2-40B4-BE49-F238E27FC236}">
              <a16:creationId xmlns:a16="http://schemas.microsoft.com/office/drawing/2014/main" id="{EC96C5C8-604A-E97D-2240-92AFFA16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26</xdr:row>
      <xdr:rowOff>0</xdr:rowOff>
    </xdr:to>
    <xdr:graphicFrame macro="">
      <xdr:nvGraphicFramePr>
        <xdr:cNvPr id="4" name="cht_side">
          <a:extLst>
            <a:ext uri="{FF2B5EF4-FFF2-40B4-BE49-F238E27FC236}">
              <a16:creationId xmlns:a16="http://schemas.microsoft.com/office/drawing/2014/main" id="{99821D00-467D-10CA-425B-333749174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5" name="cht_back">
          <a:extLst>
            <a:ext uri="{FF2B5EF4-FFF2-40B4-BE49-F238E27FC236}">
              <a16:creationId xmlns:a16="http://schemas.microsoft.com/office/drawing/2014/main" id="{36FB01EC-455E-72B0-19EC-565121033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1D384ADA-7D0D-4283-9ACF-9902F67D5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26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76DD1C53-17E3-49FE-99FE-D81B097B8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5B353648-7994-4E21-AC60-86F8043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571500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918802B8-92F6-4BD2-B0A4-D0F5881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ADCC61C0-8291-4D95-B46A-344E17F2D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11</xdr:col>
      <xdr:colOff>0</xdr:colOff>
      <xdr:row>42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8621B77F-954A-4E9E-A923-85A06422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ACCA-6E6A-42F7-B5A5-56AD77295851}">
  <sheetPr codeName="Sheet1"/>
  <dimension ref="A1:AA21"/>
  <sheetViews>
    <sheetView workbookViewId="0">
      <selection activeCell="E20" sqref="E20"/>
    </sheetView>
  </sheetViews>
  <sheetFormatPr defaultRowHeight="15" x14ac:dyDescent="0.25"/>
  <cols>
    <col min="5" max="5" width="6" customWidth="1"/>
    <col min="10" max="10" width="2.28515625" customWidth="1"/>
  </cols>
  <sheetData>
    <row r="1" spans="1:27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83" t="s">
        <v>4</v>
      </c>
      <c r="M1" s="83"/>
      <c r="N1" s="83"/>
      <c r="O1" s="83"/>
      <c r="P1" s="83"/>
      <c r="Q1" s="83"/>
      <c r="R1" s="83"/>
      <c r="S1" s="83"/>
      <c r="T1" s="83"/>
      <c r="U1" s="83"/>
      <c r="V1" s="83"/>
    </row>
    <row r="2" spans="1:27" x14ac:dyDescent="0.25">
      <c r="A2">
        <v>2.4846780080020117</v>
      </c>
      <c r="B2">
        <v>7.37169282110382</v>
      </c>
      <c r="C2">
        <v>-3.38022905838177</v>
      </c>
      <c r="E2" s="2">
        <v>3</v>
      </c>
      <c r="G2" cm="1">
        <f t="array" ref="G2">INDEX(A$2:A$1048576,$E2)</f>
        <v>-2.0273180704274529</v>
      </c>
      <c r="H2" cm="1">
        <f t="array" ref="H2">INDEX(B$2:B$1048576,$E2)</f>
        <v>9.7449269121728932</v>
      </c>
      <c r="I2" cm="1">
        <f t="array" ref="I2">INDEX(C$2:C$1048576,$E2)</f>
        <v>-3.9125374805084308</v>
      </c>
      <c r="K2" s="3">
        <v>66047</v>
      </c>
    </row>
    <row r="3" spans="1:27" x14ac:dyDescent="0.25">
      <c r="A3">
        <v>1.861040742714287</v>
      </c>
      <c r="B3">
        <v>-7.5960610217403408</v>
      </c>
      <c r="C3">
        <v>-4.2303579115207368</v>
      </c>
      <c r="E3" s="2">
        <v>4</v>
      </c>
      <c r="G3" cm="1">
        <f t="array" ref="G3">INDEX(A$2:A$1048576,$E3)</f>
        <v>-3.0445845459140903</v>
      </c>
      <c r="H3" cm="1">
        <f t="array" ref="H3">INDEX(B$2:B$1048576,$E3)</f>
        <v>7.566770567853081</v>
      </c>
      <c r="I3" cm="1">
        <f t="array" ref="I3">INDEX(C$2:C$1048576,$E3)</f>
        <v>-3.7181208981761369</v>
      </c>
      <c r="K3" s="35">
        <v>69119</v>
      </c>
    </row>
    <row r="4" spans="1:27" x14ac:dyDescent="0.25">
      <c r="A4">
        <v>-2.0273180704274529</v>
      </c>
      <c r="B4">
        <v>9.7449269121728932</v>
      </c>
      <c r="C4">
        <v>-3.9125374805084308</v>
      </c>
      <c r="E4" s="2">
        <v>5</v>
      </c>
      <c r="G4" cm="1">
        <f t="array" ref="G4">INDEX(A$2:A$1048576,$E4)</f>
        <v>-4.1759537164998557</v>
      </c>
      <c r="H4" cm="1">
        <f t="array" ref="H4">INDEX(B$2:B$1048576,$E4)</f>
        <v>5.6932554952362704</v>
      </c>
      <c r="I4" cm="1">
        <f t="array" ref="I4">INDEX(C$2:C$1048576,$E4)</f>
        <v>-3.3724249995059421</v>
      </c>
      <c r="K4" s="36">
        <v>73727</v>
      </c>
    </row>
    <row r="5" spans="1:27" x14ac:dyDescent="0.25">
      <c r="A5">
        <v>-3.0445845459140903</v>
      </c>
      <c r="B5">
        <v>7.566770567853081</v>
      </c>
      <c r="C5">
        <v>-3.7181208981761369</v>
      </c>
      <c r="E5" s="2">
        <v>6</v>
      </c>
      <c r="G5" cm="1">
        <f t="array" ref="G5">INDEX(A$2:A$1048576,$E5)</f>
        <v>-5.3575350458868023</v>
      </c>
      <c r="H5" cm="1">
        <f t="array" ref="H5">INDEX(B$2:B$1048576,$E5)</f>
        <v>3.390133439662149</v>
      </c>
      <c r="I5" cm="1">
        <f t="array" ref="I5">INDEX(C$2:C$1048576,$E5)</f>
        <v>-3.1515338713328247</v>
      </c>
      <c r="K5" s="37">
        <v>76799</v>
      </c>
    </row>
    <row r="6" spans="1:27" x14ac:dyDescent="0.25">
      <c r="A6">
        <v>-4.1759537164998557</v>
      </c>
      <c r="B6">
        <v>5.6932554952362704</v>
      </c>
      <c r="C6">
        <v>-3.3724249995059421</v>
      </c>
      <c r="E6" s="2">
        <v>7</v>
      </c>
      <c r="G6" cm="1">
        <f t="array" ref="G6">INDEX(A$2:A$1048576,$E6)</f>
        <v>-4.4761566816088907</v>
      </c>
      <c r="H6" cm="1">
        <f t="array" ref="H6">INDEX(B$2:B$1048576,$E6)</f>
        <v>0.85954101291214036</v>
      </c>
      <c r="I6" cm="1">
        <f t="array" ref="I6">INDEX(C$2:C$1048576,$E6)</f>
        <v>-3.0108829995802058</v>
      </c>
      <c r="K6" s="9">
        <v>81407</v>
      </c>
    </row>
    <row r="7" spans="1:27" x14ac:dyDescent="0.25">
      <c r="A7">
        <v>-5.3575350458868023</v>
      </c>
      <c r="B7">
        <v>3.390133439662149</v>
      </c>
      <c r="C7">
        <v>-3.1515338713328247</v>
      </c>
      <c r="E7" s="2">
        <v>8</v>
      </c>
      <c r="G7" cm="1">
        <f t="array" ref="G7">INDEX(A$2:A$1048576,$E7)</f>
        <v>-3.1934595263646957</v>
      </c>
      <c r="H7" cm="1">
        <f t="array" ref="H7">INDEX(B$2:B$1048576,$E7)</f>
        <v>-1.6188070562381975</v>
      </c>
      <c r="I7" cm="1">
        <f t="array" ref="I7">INDEX(C$2:C$1048576,$E7)</f>
        <v>-3.6442313290212587</v>
      </c>
      <c r="K7" s="4">
        <v>84479</v>
      </c>
    </row>
    <row r="8" spans="1:27" x14ac:dyDescent="0.25">
      <c r="A8">
        <v>-4.4761566816088907</v>
      </c>
      <c r="B8">
        <v>0.85954101291214036</v>
      </c>
      <c r="C8">
        <v>-3.0108829995802058</v>
      </c>
      <c r="E8" s="2">
        <v>9</v>
      </c>
      <c r="G8" cm="1">
        <f t="array" ref="G8">INDEX(A$2:A$1048576,$E8)</f>
        <v>-2.4433544876350899</v>
      </c>
      <c r="H8" cm="1">
        <f t="array" ref="H8">INDEX(B$2:B$1048576,$E8)</f>
        <v>-3.8713701155560032</v>
      </c>
      <c r="I8" cm="1">
        <f t="array" ref="I8">INDEX(C$2:C$1048576,$E8)</f>
        <v>-4.3670857533724705</v>
      </c>
      <c r="K8" s="38">
        <v>89087</v>
      </c>
    </row>
    <row r="9" spans="1:27" x14ac:dyDescent="0.25">
      <c r="A9">
        <v>-3.1934595263646957</v>
      </c>
      <c r="B9">
        <v>-1.6188070562381975</v>
      </c>
      <c r="C9">
        <v>-3.6442313290212587</v>
      </c>
      <c r="E9" s="2">
        <v>10</v>
      </c>
      <c r="G9" cm="1">
        <f t="array" ref="G9">INDEX(A$2:A$1048576,$E9)</f>
        <v>-1.5495274844921965</v>
      </c>
      <c r="H9" cm="1">
        <f t="array" ref="H9">INDEX(B$2:B$1048576,$E9)</f>
        <v>-6.1195572357704711</v>
      </c>
      <c r="I9" cm="1">
        <f t="array" ref="I9">INDEX(C$2:C$1048576,$E9)</f>
        <v>-4.5773917036174225</v>
      </c>
      <c r="K9" s="39">
        <v>92159</v>
      </c>
    </row>
    <row r="10" spans="1:27" x14ac:dyDescent="0.25">
      <c r="A10">
        <v>-2.4433544876350899</v>
      </c>
      <c r="B10">
        <v>-3.8713701155560032</v>
      </c>
      <c r="C10">
        <v>-4.3670857533724705</v>
      </c>
      <c r="E10" s="2">
        <v>11</v>
      </c>
      <c r="G10" cm="1">
        <f t="array" ref="G10">INDEX(A$2:A$1048576,$E10)</f>
        <v>-0.21071805858149539</v>
      </c>
      <c r="H10" cm="1">
        <f t="array" ref="H10">INDEX(B$2:B$1048576,$E10)</f>
        <v>-7.6662562855741747</v>
      </c>
      <c r="I10" cm="1">
        <f t="array" ref="I10">INDEX(C$2:C$1048576,$E10)</f>
        <v>-4.5876961271733219</v>
      </c>
      <c r="K10" s="10">
        <v>96767</v>
      </c>
    </row>
    <row r="11" spans="1:27" x14ac:dyDescent="0.25">
      <c r="A11">
        <v>-1.5495274844921965</v>
      </c>
      <c r="B11">
        <v>-6.1195572357704711</v>
      </c>
      <c r="C11">
        <v>-4.5773917036174225</v>
      </c>
      <c r="E11" s="2">
        <v>2</v>
      </c>
      <c r="G11" cm="1">
        <f t="array" ref="G11">INDEX(A$2:A$1048576,$E11)</f>
        <v>1.861040742714287</v>
      </c>
      <c r="H11" cm="1">
        <f t="array" ref="H11">INDEX(B$2:B$1048576,$E11)</f>
        <v>-7.5960610217403408</v>
      </c>
      <c r="I11" cm="1">
        <f t="array" ref="I11">INDEX(C$2:C$1048576,$E11)</f>
        <v>-4.2303579115207368</v>
      </c>
      <c r="K11" s="40">
        <v>99583</v>
      </c>
    </row>
    <row r="12" spans="1:27" x14ac:dyDescent="0.25">
      <c r="A12">
        <v>-0.21071805858149539</v>
      </c>
      <c r="B12">
        <v>-7.6662562855741747</v>
      </c>
      <c r="C12">
        <v>-4.5876961271733219</v>
      </c>
      <c r="E12" s="2">
        <v>12</v>
      </c>
      <c r="G12" cm="1">
        <f t="array" ref="G12">INDEX(A$2:A$1048576,$E12)</f>
        <v>3.2984823058920778</v>
      </c>
      <c r="H12" cm="1">
        <f t="array" ref="H12">INDEX(B$2:B$1048576,$E12)</f>
        <v>-5.9426728599505028</v>
      </c>
      <c r="I12" cm="1">
        <f t="array" ref="I12">INDEX(C$2:C$1048576,$E12)</f>
        <v>-3.9454394600590197</v>
      </c>
      <c r="K12" s="5">
        <v>104191</v>
      </c>
    </row>
    <row r="13" spans="1:27" x14ac:dyDescent="0.25">
      <c r="A13">
        <v>3.2984823058920778</v>
      </c>
      <c r="B13">
        <v>-5.9426728599505028</v>
      </c>
      <c r="C13">
        <v>-3.9454394600590197</v>
      </c>
      <c r="E13" s="2">
        <v>13</v>
      </c>
      <c r="G13" cm="1">
        <f t="array" ref="G13">INDEX(A$2:A$1048576,$E13)</f>
        <v>4.4605449699774606</v>
      </c>
      <c r="H13" cm="1">
        <f t="array" ref="H13">INDEX(B$2:B$1048576,$E13)</f>
        <v>-4.4863774009376103</v>
      </c>
      <c r="I13" cm="1">
        <f t="array" ref="I13">INDEX(C$2:C$1048576,$E13)</f>
        <v>-4.3535236653077476</v>
      </c>
      <c r="K13" s="41">
        <v>107263</v>
      </c>
    </row>
    <row r="14" spans="1:27" x14ac:dyDescent="0.25">
      <c r="A14">
        <v>4.4605449699774606</v>
      </c>
      <c r="B14">
        <v>-4.4863774009376103</v>
      </c>
      <c r="C14">
        <v>-4.3535236653077476</v>
      </c>
      <c r="E14" s="2">
        <v>14</v>
      </c>
      <c r="G14" cm="1">
        <f t="array" ref="G14">INDEX(A$2:A$1048576,$E14)</f>
        <v>5.0162838033523709</v>
      </c>
      <c r="H14" cm="1">
        <f t="array" ref="H14">INDEX(B$2:B$1048576,$E14)</f>
        <v>-2.7308909706937716</v>
      </c>
      <c r="I14" cm="1">
        <f t="array" ref="I14">INDEX(C$2:C$1048576,$E14)</f>
        <v>-3.5853896339435787</v>
      </c>
      <c r="K14" s="11">
        <v>111871</v>
      </c>
      <c r="AA14">
        <f>HEX2DEC("6B")</f>
        <v>107</v>
      </c>
    </row>
    <row r="15" spans="1:27" x14ac:dyDescent="0.25">
      <c r="A15">
        <v>5.0162838033523709</v>
      </c>
      <c r="B15">
        <v>-2.7308909706937716</v>
      </c>
      <c r="C15">
        <v>-3.5853896339435787</v>
      </c>
      <c r="E15" s="2">
        <v>15</v>
      </c>
      <c r="G15" cm="1">
        <f t="array" ref="G15">INDEX(A$2:A$1048576,$E15)</f>
        <v>4.9390727103266272</v>
      </c>
      <c r="H15" cm="1">
        <f t="array" ref="H15">INDEX(B$2:B$1048576,$E15)</f>
        <v>-0.75211663094423353</v>
      </c>
      <c r="I15" cm="1">
        <f t="array" ref="I15">INDEX(C$2:C$1048576,$E15)</f>
        <v>-2.749149295228932</v>
      </c>
      <c r="K15" s="42">
        <v>114943</v>
      </c>
    </row>
    <row r="16" spans="1:27" x14ac:dyDescent="0.25">
      <c r="A16">
        <v>4.9390727103266272</v>
      </c>
      <c r="B16">
        <v>-0.75211663094423353</v>
      </c>
      <c r="C16">
        <v>-2.749149295228932</v>
      </c>
      <c r="E16" s="2">
        <v>16</v>
      </c>
      <c r="G16" cm="1">
        <f t="array" ref="G16">INDEX(A$2:A$1048576,$E16)</f>
        <v>4.4454009617664454</v>
      </c>
      <c r="H16" cm="1">
        <f t="array" ref="H16">INDEX(B$2:B$1048576,$E16)</f>
        <v>1.2489866307115891</v>
      </c>
      <c r="I16" cm="1">
        <f t="array" ref="I16">INDEX(C$2:C$1048576,$E16)</f>
        <v>-2.7727444410369606</v>
      </c>
      <c r="K16" s="43">
        <v>119551</v>
      </c>
    </row>
    <row r="17" spans="1:11" x14ac:dyDescent="0.25">
      <c r="A17">
        <v>4.4454009617664454</v>
      </c>
      <c r="B17">
        <v>1.2489866307115891</v>
      </c>
      <c r="C17">
        <v>-2.7727444410369606</v>
      </c>
      <c r="E17" s="2">
        <v>17</v>
      </c>
      <c r="G17" cm="1">
        <f t="array" ref="G17">INDEX(A$2:A$1048576,$E17)</f>
        <v>3.9378875164849321</v>
      </c>
      <c r="H17" cm="1">
        <f t="array" ref="H17">INDEX(B$2:B$1048576,$E17)</f>
        <v>2.9536625957445652</v>
      </c>
      <c r="I17" cm="1">
        <f t="array" ref="I17">INDEX(C$2:C$1048576,$E17)</f>
        <v>-2.8238556612138215</v>
      </c>
      <c r="K17" s="26">
        <v>122623</v>
      </c>
    </row>
    <row r="18" spans="1:11" x14ac:dyDescent="0.25">
      <c r="A18">
        <v>3.9378875164849321</v>
      </c>
      <c r="B18">
        <v>2.9536625957445652</v>
      </c>
      <c r="C18">
        <v>-2.8238556612138215</v>
      </c>
      <c r="E18" s="2">
        <v>18</v>
      </c>
      <c r="G18" cm="1">
        <f t="array" ref="G18">INDEX(A$2:A$1048576,$E18)</f>
        <v>3.049543944726826</v>
      </c>
      <c r="H18" cm="1">
        <f t="array" ref="H18">INDEX(B$2:B$1048576,$E18)</f>
        <v>5.3041080272148378</v>
      </c>
      <c r="I18" cm="1">
        <f t="array" ref="I18">INDEX(C$2:C$1048576,$E18)</f>
        <v>-2.9828861413719134</v>
      </c>
      <c r="K18" s="12">
        <v>127231</v>
      </c>
    </row>
    <row r="19" spans="1:11" x14ac:dyDescent="0.25">
      <c r="A19">
        <v>3.049543944726826</v>
      </c>
      <c r="B19">
        <v>5.3041080272148378</v>
      </c>
      <c r="C19">
        <v>-2.9828861413719134</v>
      </c>
      <c r="E19" s="2">
        <v>1</v>
      </c>
      <c r="G19" cm="1">
        <f t="array" ref="G19">INDEX(A$2:A$1048576,$E19)</f>
        <v>2.4846780080020117</v>
      </c>
      <c r="H19" cm="1">
        <f t="array" ref="H19">INDEX(B$2:B$1048576,$E19)</f>
        <v>7.37169282110382</v>
      </c>
      <c r="I19" cm="1">
        <f t="array" ref="I19">INDEX(C$2:C$1048576,$E19)</f>
        <v>-3.38022905838177</v>
      </c>
      <c r="K19" s="44">
        <v>130303</v>
      </c>
    </row>
    <row r="20" spans="1:11" x14ac:dyDescent="0.25">
      <c r="A20">
        <v>1.8388751363739979</v>
      </c>
      <c r="B20">
        <v>9.4901356499565885</v>
      </c>
      <c r="C20">
        <v>-3.6261950619646335</v>
      </c>
      <c r="E20" s="2">
        <v>19</v>
      </c>
      <c r="G20" cm="1">
        <f t="array" ref="G20">INDEX(A$2:A$1048576,$E20)</f>
        <v>1.8388751363739979</v>
      </c>
      <c r="H20" cm="1">
        <f t="array" ref="H20">INDEX(B$2:B$1048576,$E20)</f>
        <v>9.4901356499565885</v>
      </c>
      <c r="I20" cm="1">
        <f t="array" ref="I20">INDEX(C$2:C$1048576,$E20)</f>
        <v>-3.6261950619646335</v>
      </c>
      <c r="K20" s="45">
        <v>131056</v>
      </c>
    </row>
    <row r="21" spans="1:11" x14ac:dyDescent="0.25">
      <c r="A21">
        <v>8.0684060230850002E-4</v>
      </c>
      <c r="B21">
        <v>10.834717750549316</v>
      </c>
      <c r="C21">
        <v>-3.8408215045928955</v>
      </c>
      <c r="E21" s="2">
        <v>20</v>
      </c>
      <c r="G21" cm="1">
        <f t="array" ref="G21">INDEX(A$2:A$1048576,$E21)</f>
        <v>8.0684060230850002E-4</v>
      </c>
      <c r="H21" cm="1">
        <f t="array" ref="H21">INDEX(B$2:B$1048576,$E21)</f>
        <v>10.834717750549316</v>
      </c>
      <c r="I21" cm="1">
        <f t="array" ref="I21">INDEX(C$2:C$1048576,$E21)</f>
        <v>-3.8408215045928955</v>
      </c>
      <c r="K21" s="46">
        <v>131044</v>
      </c>
    </row>
  </sheetData>
  <sortState xmlns:xlrd2="http://schemas.microsoft.com/office/spreadsheetml/2017/richdata2" ref="E2:E21">
    <sortCondition ref="E2:E21"/>
  </sortState>
  <dataConsolidate/>
  <conditionalFormatting sqref="E1:E1048576">
    <cfRule type="duplicateValues" dxfId="0" priority="2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Load_Base">
                <anchor moveWithCells="1" sizeWithCells="1">
                  <from>
                    <xdr:col>2</xdr:col>
                    <xdr:colOff>600075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4F05-CAA4-4C93-8B23-853C59DF6BCF}">
  <sheetPr codeName="Sheet2"/>
  <dimension ref="A1:V60"/>
  <sheetViews>
    <sheetView workbookViewId="0">
      <selection activeCell="E2" sqref="E2:E60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84" t="s">
        <v>5</v>
      </c>
      <c r="M1" s="84"/>
      <c r="N1" s="84"/>
      <c r="O1" s="84"/>
      <c r="P1" s="84"/>
      <c r="Q1" s="84"/>
      <c r="R1" s="84"/>
      <c r="S1" s="84"/>
      <c r="T1" s="84"/>
      <c r="U1" s="84"/>
      <c r="V1" s="84"/>
    </row>
    <row r="2" spans="1:22" x14ac:dyDescent="0.25">
      <c r="A2">
        <v>1.5649129716649255</v>
      </c>
      <c r="B2">
        <v>-7.0323059273650781</v>
      </c>
      <c r="C2">
        <v>-3.5275938319551279</v>
      </c>
      <c r="E2" s="2">
        <v>59</v>
      </c>
      <c r="G2" cm="1">
        <f t="array" ref="G2">INDEX(_xlfn._TRO_TRAILING(A$2:A$1048576),$E2)</f>
        <v>-2.1190410532187999E-3</v>
      </c>
      <c r="H2" cm="1">
        <f t="array" ref="H2">INDEX(_xlfn._TRO_TRAILING(B$2:B$1048576),$E2)</f>
        <v>10.779005970932054</v>
      </c>
      <c r="I2" cm="1">
        <f t="array" ref="I2">INDEX(_xlfn._TRO_TRAILING(C$2:C$1048576),$E2)</f>
        <v>-2.9050750744033538</v>
      </c>
      <c r="K2" s="13">
        <v>131026</v>
      </c>
    </row>
    <row r="3" spans="1:22" x14ac:dyDescent="0.25">
      <c r="A3">
        <v>1.4409294991424801</v>
      </c>
      <c r="B3">
        <v>-6.689811879366717</v>
      </c>
      <c r="C3">
        <v>-2.6397353757579385</v>
      </c>
      <c r="E3" s="2">
        <v>58</v>
      </c>
      <c r="G3" cm="1">
        <f t="array" ref="G3">INDEX(_xlfn._TRO_TRAILING(A$2:A$1048576),$E3)</f>
        <v>-8.9466557636820002E-4</v>
      </c>
      <c r="H3" cm="1">
        <f t="array" ref="H3">INDEX(_xlfn._TRO_TRAILING(B$2:B$1048576),$E3)</f>
        <v>10.543247015723965</v>
      </c>
      <c r="I3" cm="1">
        <f t="array" ref="I3">INDEX(_xlfn._TRO_TRAILING(C$2:C$1048576),$E3)</f>
        <v>-1.9926165920735159</v>
      </c>
      <c r="K3" s="47">
        <v>131014</v>
      </c>
    </row>
    <row r="4" spans="1:22" x14ac:dyDescent="0.25">
      <c r="A4">
        <v>1.3389888360076625</v>
      </c>
      <c r="B4">
        <v>-6.4951646993781837</v>
      </c>
      <c r="C4">
        <v>-1.7013898339219042</v>
      </c>
      <c r="E4" s="2">
        <v>57</v>
      </c>
      <c r="G4" cm="1">
        <f t="array" ref="G4">INDEX(_xlfn._TRO_TRAILING(A$2:A$1048576),$E4)</f>
        <v>-6.3846360167714002E-3</v>
      </c>
      <c r="H4" cm="1">
        <f t="array" ref="H4">INDEX(_xlfn._TRO_TRAILING(B$2:B$1048576),$E4)</f>
        <v>10.210066670320158</v>
      </c>
      <c r="I4" cm="1">
        <f t="array" ref="I4">INDEX(_xlfn._TRO_TRAILING(C$2:C$1048576),$E4)</f>
        <v>-1.1170032194952413</v>
      </c>
      <c r="K4" s="27">
        <v>130996</v>
      </c>
    </row>
    <row r="5" spans="1:22" x14ac:dyDescent="0.25">
      <c r="A5">
        <v>1.2325752278161364</v>
      </c>
      <c r="B5">
        <v>-6.3299690581533223</v>
      </c>
      <c r="C5">
        <v>-0.76002898627643378</v>
      </c>
      <c r="E5" s="2">
        <v>56</v>
      </c>
      <c r="G5" cm="1">
        <f t="array" ref="G5">INDEX(_xlfn._TRO_TRAILING(A$2:A$1048576),$E5)</f>
        <v>-7.5726541711680195E-2</v>
      </c>
      <c r="H5" cm="1">
        <f t="array" ref="H5">INDEX(_xlfn._TRO_TRAILING(B$2:B$1048576),$E5)</f>
        <v>9.7982654174915957</v>
      </c>
      <c r="I5" cm="1">
        <f t="array" ref="I5">INDEX(_xlfn._TRO_TRAILING(C$2:C$1048576),$E5)</f>
        <v>-0.27309636104306428</v>
      </c>
      <c r="K5" s="48">
        <v>130984</v>
      </c>
    </row>
    <row r="6" spans="1:22" x14ac:dyDescent="0.25">
      <c r="A6">
        <v>1.1482784663834416</v>
      </c>
      <c r="B6">
        <v>-6.0802997591934096</v>
      </c>
      <c r="C6">
        <v>0.16535708898121049</v>
      </c>
      <c r="E6" s="2">
        <v>55</v>
      </c>
      <c r="G6" cm="1">
        <f t="array" ref="G6">INDEX(_xlfn._TRO_TRAILING(A$2:A$1048576),$E6)</f>
        <v>-0.16516508388127499</v>
      </c>
      <c r="H6" cm="1">
        <f t="array" ref="H6">INDEX(_xlfn._TRO_TRAILING(B$2:B$1048576),$E6)</f>
        <v>9.2966299275292101</v>
      </c>
      <c r="I6" cm="1">
        <f t="array" ref="I6">INDEX(_xlfn._TRO_TRAILING(C$2:C$1048576),$E6)</f>
        <v>0.52587586788446083</v>
      </c>
      <c r="K6" s="14">
        <v>130966</v>
      </c>
    </row>
    <row r="7" spans="1:22" x14ac:dyDescent="0.25">
      <c r="A7">
        <v>1.0684275359797368</v>
      </c>
      <c r="B7">
        <v>-5.7637798352172513</v>
      </c>
      <c r="C7">
        <v>1.0678459251652783</v>
      </c>
      <c r="E7" s="2">
        <v>54</v>
      </c>
      <c r="G7" cm="1">
        <f t="array" ref="G7">INDEX(_xlfn._TRO_TRAILING(A$2:A$1048576),$E7)</f>
        <v>-0.30389824637419022</v>
      </c>
      <c r="H7" cm="1">
        <f t="array" ref="H7">INDEX(_xlfn._TRO_TRAILING(B$2:B$1048576),$E7)</f>
        <v>8.6460297151156613</v>
      </c>
      <c r="I7" cm="1">
        <f t="array" ref="I7">INDEX(_xlfn._TRO_TRAILING(C$2:C$1048576),$E7)</f>
        <v>1.2004997428527466</v>
      </c>
      <c r="K7" s="28">
        <v>130954</v>
      </c>
    </row>
    <row r="8" spans="1:22" x14ac:dyDescent="0.25">
      <c r="A8">
        <v>0.97490882861232619</v>
      </c>
      <c r="B8">
        <v>-5.3221025084352007</v>
      </c>
      <c r="C8">
        <v>1.9154835102051835</v>
      </c>
      <c r="E8" s="2">
        <v>53</v>
      </c>
      <c r="G8" cm="1">
        <f t="array" ref="G8">INDEX(_xlfn._TRO_TRAILING(A$2:A$1048576),$E8)</f>
        <v>-0.40857309881883819</v>
      </c>
      <c r="H8" cm="1">
        <f t="array" ref="H8">INDEX(_xlfn._TRO_TRAILING(B$2:B$1048576),$E8)</f>
        <v>7.8437019695972081</v>
      </c>
      <c r="I8" cm="1">
        <f t="array" ref="I8">INDEX(_xlfn._TRO_TRAILING(C$2:C$1048576),$E8)</f>
        <v>1.6911418975681298</v>
      </c>
      <c r="K8" s="49">
        <v>130937</v>
      </c>
    </row>
    <row r="9" spans="1:22" x14ac:dyDescent="0.25">
      <c r="A9">
        <v>0.84775550409915013</v>
      </c>
      <c r="B9">
        <v>-4.786169219732149</v>
      </c>
      <c r="C9">
        <v>2.7017871374413973</v>
      </c>
      <c r="E9" s="2">
        <v>52</v>
      </c>
      <c r="G9" cm="1">
        <f t="array" ref="G9">INDEX(_xlfn._TRO_TRAILING(A$2:A$1048576),$E9)</f>
        <v>-0.49250426785481549</v>
      </c>
      <c r="H9" cm="1">
        <f t="array" ref="H9">INDEX(_xlfn._TRO_TRAILING(B$2:B$1048576),$E9)</f>
        <v>6.9365276332856869</v>
      </c>
      <c r="I9" cm="1">
        <f t="array" ref="I9">INDEX(_xlfn._TRO_TRAILING(C$2:C$1048576),$E9)</f>
        <v>1.9208801629409717</v>
      </c>
      <c r="K9" s="50">
        <v>130925</v>
      </c>
    </row>
    <row r="10" spans="1:22" x14ac:dyDescent="0.25">
      <c r="A10">
        <v>0.67843102527060584</v>
      </c>
      <c r="B10">
        <v>-4.1085110651871535</v>
      </c>
      <c r="C10">
        <v>3.3601774471381738</v>
      </c>
      <c r="E10" s="2">
        <v>51</v>
      </c>
      <c r="G10" cm="1">
        <f t="array" ref="G10">INDEX(_xlfn._TRO_TRAILING(A$2:A$1048576),$E10)</f>
        <v>-0.51861893647741508</v>
      </c>
      <c r="H10" cm="1">
        <f t="array" ref="H10">INDEX(_xlfn._TRO_TRAILING(B$2:B$1048576),$E10)</f>
        <v>6.5670039748351119</v>
      </c>
      <c r="I10" cm="1">
        <f t="array" ref="I10">INDEX(_xlfn._TRO_TRAILING(C$2:C$1048576),$E10)</f>
        <v>1.2471772105222836</v>
      </c>
      <c r="K10" s="15">
        <v>130907</v>
      </c>
    </row>
    <row r="11" spans="1:22" x14ac:dyDescent="0.25">
      <c r="A11">
        <v>0.53803139296501845</v>
      </c>
      <c r="B11">
        <v>-3.2555416248080227</v>
      </c>
      <c r="C11">
        <v>3.7434249297184494</v>
      </c>
      <c r="E11" s="2">
        <v>50</v>
      </c>
      <c r="G11" cm="1">
        <f t="array" ref="G11">INDEX(_xlfn._TRO_TRAILING(A$2:A$1048576),$E11)</f>
        <v>-0.46910836370970338</v>
      </c>
      <c r="H11" cm="1">
        <f t="array" ref="H11">INDEX(_xlfn._TRO_TRAILING(B$2:B$1048576),$E11)</f>
        <v>6.8232370511784382</v>
      </c>
      <c r="I11" cm="1">
        <f t="array" ref="I11">INDEX(_xlfn._TRO_TRAILING(C$2:C$1048576),$E11)</f>
        <v>0.34131991847775422</v>
      </c>
      <c r="K11" s="51">
        <v>130895</v>
      </c>
    </row>
    <row r="12" spans="1:22" x14ac:dyDescent="0.25">
      <c r="A12">
        <v>0.38401372514896659</v>
      </c>
      <c r="B12">
        <v>-2.8739650900740936</v>
      </c>
      <c r="C12">
        <v>2.9912632165236728</v>
      </c>
      <c r="E12" s="2">
        <v>49</v>
      </c>
      <c r="G12" cm="1">
        <f t="array" ref="G12">INDEX(_xlfn._TRO_TRAILING(A$2:A$1048576),$E12)</f>
        <v>-0.35873172321311703</v>
      </c>
      <c r="H12" cm="1">
        <f t="array" ref="H12">INDEX(_xlfn._TRO_TRAILING(B$2:B$1048576),$E12)</f>
        <v>7.0396332021519576</v>
      </c>
      <c r="I12" cm="1">
        <f t="array" ref="I12">INDEX(_xlfn._TRO_TRAILING(C$2:C$1048576),$E12)</f>
        <v>-0.57159759202618188</v>
      </c>
      <c r="K12" s="52">
        <v>130877</v>
      </c>
    </row>
    <row r="13" spans="1:22" x14ac:dyDescent="0.25">
      <c r="A13">
        <v>0.30163288449920911</v>
      </c>
      <c r="B13">
        <v>-2.9187564901775853</v>
      </c>
      <c r="C13">
        <v>2.0396368585684783</v>
      </c>
      <c r="E13" s="2">
        <v>48</v>
      </c>
      <c r="G13" cm="1">
        <f t="array" ref="G13">INDEX(_xlfn._TRO_TRAILING(A$2:A$1048576),$E13)</f>
        <v>-0.53406935388788801</v>
      </c>
      <c r="H13" cm="1">
        <f t="array" ref="H13">INDEX(_xlfn._TRO_TRAILING(B$2:B$1048576),$E13)</f>
        <v>6.9201975356587404</v>
      </c>
      <c r="I13" cm="1">
        <f t="array" ref="I13">INDEX(_xlfn._TRO_TRAILING(C$2:C$1048576),$E13)</f>
        <v>-1.4453949410782077</v>
      </c>
      <c r="K13" s="53">
        <v>130865</v>
      </c>
    </row>
    <row r="14" spans="1:22" x14ac:dyDescent="0.25">
      <c r="A14">
        <v>0.6135891998290659</v>
      </c>
      <c r="B14">
        <v>-2.8462977298285042</v>
      </c>
      <c r="C14">
        <v>1.1534991473628076</v>
      </c>
      <c r="E14" s="2">
        <v>47</v>
      </c>
      <c r="G14" cm="1">
        <f t="array" ref="G14">INDEX(_xlfn._TRO_TRAILING(A$2:A$1048576),$E14)</f>
        <v>-0.70186481021612268</v>
      </c>
      <c r="H14" cm="1">
        <f t="array" ref="H14">INDEX(_xlfn._TRO_TRAILING(B$2:B$1048576),$E14)</f>
        <v>6.390883731885495</v>
      </c>
      <c r="I14" cm="1">
        <f t="array" ref="I14">INDEX(_xlfn._TRO_TRAILING(C$2:C$1048576),$E14)</f>
        <v>-2.0241181181630257</v>
      </c>
      <c r="K14" s="16">
        <v>130847</v>
      </c>
    </row>
    <row r="15" spans="1:22" x14ac:dyDescent="0.25">
      <c r="A15">
        <v>0.98999898884209003</v>
      </c>
      <c r="B15">
        <v>-2.6926649522664832</v>
      </c>
      <c r="C15">
        <v>0.2856730638728785</v>
      </c>
      <c r="E15" s="2">
        <v>46</v>
      </c>
      <c r="G15" cm="1">
        <f t="array" ref="G15">INDEX(_xlfn._TRO_TRAILING(A$2:A$1048576),$E15)</f>
        <v>-0.8726996193600236</v>
      </c>
      <c r="H15" cm="1">
        <f t="array" ref="H15">INDEX(_xlfn._TRO_TRAILING(B$2:B$1048576),$E15)</f>
        <v>5.7938229381995132</v>
      </c>
      <c r="I15" cm="1">
        <f t="array" ref="I15">INDEX(_xlfn._TRO_TRAILING(C$2:C$1048576),$E15)</f>
        <v>-1.4164895599628524</v>
      </c>
      <c r="K15" s="54">
        <v>130835</v>
      </c>
    </row>
    <row r="16" spans="1:22" x14ac:dyDescent="0.25">
      <c r="A16">
        <v>1.1777667483877401</v>
      </c>
      <c r="B16">
        <v>-2.5408011081346529</v>
      </c>
      <c r="C16">
        <v>-0.6059297010320881</v>
      </c>
      <c r="E16" s="2">
        <v>45</v>
      </c>
      <c r="G16" cm="1">
        <f t="array" ref="G16">INDEX(_xlfn._TRO_TRAILING(A$2:A$1048576),$E16)</f>
        <v>-1.262023963885585</v>
      </c>
      <c r="H16" cm="1">
        <f t="array" ref="H16">INDEX(_xlfn._TRO_TRAILING(B$2:B$1048576),$E16)</f>
        <v>5.6550650258783568</v>
      </c>
      <c r="I16" cm="1">
        <f t="array" ref="I16">INDEX(_xlfn._TRO_TRAILING(C$2:C$1048576),$E16)</f>
        <v>-0.56312072758906906</v>
      </c>
      <c r="K16" s="55">
        <v>130817</v>
      </c>
    </row>
    <row r="17" spans="1:11" x14ac:dyDescent="0.25">
      <c r="A17">
        <v>0.94863499544245389</v>
      </c>
      <c r="B17">
        <v>-2.2561085947856223</v>
      </c>
      <c r="C17">
        <v>-1.4745835386135795</v>
      </c>
      <c r="E17" s="2">
        <v>44</v>
      </c>
      <c r="G17" cm="1">
        <f t="array" ref="G17">INDEX(_xlfn._TRO_TRAILING(A$2:A$1048576),$E17)</f>
        <v>-1.4370666829921102</v>
      </c>
      <c r="H17" cm="1">
        <f t="array" ref="H17">INDEX(_xlfn._TRO_TRAILING(B$2:B$1048576),$E17)</f>
        <v>5.5306277872036604</v>
      </c>
      <c r="I17" cm="1">
        <f t="array" ref="I17">INDEX(_xlfn._TRO_TRAILING(C$2:C$1048576),$E17)</f>
        <v>0.3526734887003713</v>
      </c>
      <c r="K17" s="56">
        <v>917249</v>
      </c>
    </row>
    <row r="18" spans="1:11" x14ac:dyDescent="0.25">
      <c r="A18">
        <v>0.36188979562057472</v>
      </c>
      <c r="B18">
        <v>-1.6987607121011763</v>
      </c>
      <c r="C18">
        <v>-1.277713570015869</v>
      </c>
      <c r="E18" s="2">
        <v>43</v>
      </c>
      <c r="G18" cm="1">
        <f t="array" ref="G18">INDEX(_xlfn._TRO_TRAILING(A$2:A$1048576),$E18)</f>
        <v>-1.5063662301244154</v>
      </c>
      <c r="H18" cm="1">
        <f t="array" ref="H18">INDEX(_xlfn._TRO_TRAILING(B$2:B$1048576),$E18)</f>
        <v>5.4504066115769838</v>
      </c>
      <c r="I18" cm="1">
        <f t="array" ref="I18">INDEX(_xlfn._TRO_TRAILING(C$2:C$1048576),$E18)</f>
        <v>1.2957039139087561</v>
      </c>
      <c r="K18" s="17">
        <v>2096897</v>
      </c>
    </row>
    <row r="19" spans="1:11" x14ac:dyDescent="0.25">
      <c r="A19">
        <v>0.15581117074215611</v>
      </c>
      <c r="B19">
        <v>-1.3940287606801065</v>
      </c>
      <c r="C19">
        <v>-0.4136170213726475</v>
      </c>
      <c r="E19" s="2">
        <v>42</v>
      </c>
      <c r="G19" cm="1">
        <f t="array" ref="G19">INDEX(_xlfn._TRO_TRAILING(A$2:A$1048576),$E19)</f>
        <v>-1.6134055638939433</v>
      </c>
      <c r="H19" cm="1">
        <f t="array" ref="H19">INDEX(_xlfn._TRO_TRAILING(B$2:B$1048576),$E19)</f>
        <v>5.2764577329115623</v>
      </c>
      <c r="I19" cm="1">
        <f t="array" ref="I19">INDEX(_xlfn._TRO_TRAILING(C$2:C$1048576),$E19)</f>
        <v>2.2207310625197638</v>
      </c>
      <c r="K19" s="29">
        <v>2883329</v>
      </c>
    </row>
    <row r="20" spans="1:11" x14ac:dyDescent="0.25">
      <c r="A20">
        <v>2.6167736940643799E-2</v>
      </c>
      <c r="B20">
        <v>-1.1442955588058081</v>
      </c>
      <c r="C20">
        <v>0.49263577145151011</v>
      </c>
      <c r="E20" s="2">
        <v>41</v>
      </c>
      <c r="G20" cm="1">
        <f t="array" ref="G20">INDEX(_xlfn._TRO_TRAILING(A$2:A$1048576),$E20)</f>
        <v>-1.7561081503006286</v>
      </c>
      <c r="H20" cm="1">
        <f t="array" ref="H20">INDEX(_xlfn._TRO_TRAILING(B$2:B$1048576),$E20)</f>
        <v>5.0383344849149658</v>
      </c>
      <c r="I20" cm="1">
        <f t="array" ref="I20">INDEX(_xlfn._TRO_TRAILING(C$2:C$1048576),$E20)</f>
        <v>3.1267295205374541</v>
      </c>
      <c r="K20" s="57">
        <v>4062977</v>
      </c>
    </row>
    <row r="21" spans="1:11" x14ac:dyDescent="0.25">
      <c r="A21">
        <v>5.4586355366224E-3</v>
      </c>
      <c r="B21">
        <v>-1.1004088138923058</v>
      </c>
      <c r="C21">
        <v>1.4475197009785215</v>
      </c>
      <c r="E21" s="2">
        <v>40</v>
      </c>
      <c r="G21" cm="1">
        <f t="array" ref="G21">INDEX(_xlfn._TRO_TRAILING(A$2:A$1048576),$E21)</f>
        <v>-1.9147378704007429</v>
      </c>
      <c r="H21" cm="1">
        <f t="array" ref="H21">INDEX(_xlfn._TRO_TRAILING(B$2:B$1048576),$E21)</f>
        <v>4.7614014586610773</v>
      </c>
      <c r="I21" cm="1">
        <f t="array" ref="I21">INDEX(_xlfn._TRO_TRAILING(C$2:C$1048576),$E21)</f>
        <v>4.0184753205510839</v>
      </c>
      <c r="K21" s="58">
        <v>4849409</v>
      </c>
    </row>
    <row r="22" spans="1:11" x14ac:dyDescent="0.25">
      <c r="A22">
        <v>9.8485881534955994E-2</v>
      </c>
      <c r="B22">
        <v>-1.1210776994477354</v>
      </c>
      <c r="C22">
        <v>2.3994091727357629</v>
      </c>
      <c r="E22" s="2">
        <v>39</v>
      </c>
      <c r="G22" cm="1">
        <f t="array" ref="G22">INDEX(_xlfn._TRO_TRAILING(A$2:A$1048576),$E22)</f>
        <v>-1.8909601401172342</v>
      </c>
      <c r="H22" cm="1">
        <f t="array" ref="H22">INDEX(_xlfn._TRO_TRAILING(B$2:B$1048576),$E22)</f>
        <v>4.3570652367770251</v>
      </c>
      <c r="I22" cm="1">
        <f t="array" ref="I22">INDEX(_xlfn._TRO_TRAILING(C$2:C$1048576),$E22)</f>
        <v>4.8669832813512945</v>
      </c>
      <c r="K22" s="18">
        <v>6029057</v>
      </c>
    </row>
    <row r="23" spans="1:11" x14ac:dyDescent="0.25">
      <c r="A23">
        <v>0.1370405451093204</v>
      </c>
      <c r="B23">
        <v>-1.1221801424142552</v>
      </c>
      <c r="C23">
        <v>3.3426032917827566</v>
      </c>
      <c r="E23" s="2">
        <v>38</v>
      </c>
      <c r="G23" cm="1">
        <f t="array" ref="G23">INDEX(_xlfn._TRO_TRAILING(A$2:A$1048576),$E23)</f>
        <v>-1.8400731412421871</v>
      </c>
      <c r="H23" cm="1">
        <f t="array" ref="H23">INDEX(_xlfn._TRO_TRAILING(B$2:B$1048576),$E23)</f>
        <v>3.8688298497377835</v>
      </c>
      <c r="I23" cm="1">
        <f t="array" ref="I23">INDEX(_xlfn._TRO_TRAILING(C$2:C$1048576),$E23)</f>
        <v>5.6793828480477702</v>
      </c>
      <c r="K23" s="59">
        <v>6815489</v>
      </c>
    </row>
    <row r="24" spans="1:11" x14ac:dyDescent="0.25">
      <c r="A24">
        <v>0.294970492045388</v>
      </c>
      <c r="B24">
        <v>-1.3755549955431188</v>
      </c>
      <c r="C24">
        <v>4.2371867158632037</v>
      </c>
      <c r="E24" s="2">
        <v>37</v>
      </c>
      <c r="G24" cm="1">
        <f t="array" ref="G24">INDEX(_xlfn._TRO_TRAILING(A$2:A$1048576),$E24)</f>
        <v>-1.7984440433705331</v>
      </c>
      <c r="H24" cm="1">
        <f t="array" ref="H24">INDEX(_xlfn._TRO_TRAILING(B$2:B$1048576),$E24)</f>
        <v>3.3603125049201319</v>
      </c>
      <c r="I24" cm="1">
        <f t="array" ref="I24">INDEX(_xlfn._TRO_TRAILING(C$2:C$1048576),$E24)</f>
        <v>6.4761556647867788</v>
      </c>
      <c r="K24" s="30">
        <v>7995137</v>
      </c>
    </row>
    <row r="25" spans="1:11" x14ac:dyDescent="0.25">
      <c r="A25">
        <v>0.377903956655814</v>
      </c>
      <c r="B25">
        <v>-1.6120193086353578</v>
      </c>
      <c r="C25">
        <v>5.1654891641646747</v>
      </c>
      <c r="E25" s="2">
        <v>36</v>
      </c>
      <c r="G25" cm="1">
        <f t="array" ref="G25">INDEX(_xlfn._TRO_TRAILING(A$2:A$1048576),$E25)</f>
        <v>-1.7298813083826874</v>
      </c>
      <c r="H25" cm="1">
        <f t="array" ref="H25">INDEX(_xlfn._TRO_TRAILING(B$2:B$1048576),$E25)</f>
        <v>2.7961515076456731</v>
      </c>
      <c r="I25" cm="1">
        <f t="array" ref="I25">INDEX(_xlfn._TRO_TRAILING(C$2:C$1048576),$E25)</f>
        <v>7.2328481039386938</v>
      </c>
      <c r="K25" s="60">
        <v>8716033</v>
      </c>
    </row>
    <row r="26" spans="1:11" x14ac:dyDescent="0.25">
      <c r="A26">
        <v>0.40265226383934821</v>
      </c>
      <c r="B26">
        <v>-1.8317666506702586</v>
      </c>
      <c r="C26">
        <v>6.1021408398658563</v>
      </c>
      <c r="E26" s="2">
        <v>35</v>
      </c>
      <c r="G26" cm="1">
        <f t="array" ref="G26">INDEX(_xlfn._TRO_TRAILING(A$2:A$1048576),$E26)</f>
        <v>-1.4924952603624471</v>
      </c>
      <c r="H26" cm="1">
        <f t="array" ref="H26">INDEX(_xlfn._TRO_TRAILING(B$2:B$1048576),$E26)</f>
        <v>2.2241073431312297</v>
      </c>
      <c r="I26" cm="1">
        <f t="array" ref="I26">INDEX(_xlfn._TRO_TRAILING(C$2:C$1048576),$E26)</f>
        <v>7.9504660269942491</v>
      </c>
      <c r="K26" s="19">
        <v>9895681</v>
      </c>
    </row>
    <row r="27" spans="1:11" x14ac:dyDescent="0.25">
      <c r="A27">
        <v>0.3405232726769587</v>
      </c>
      <c r="B27">
        <v>-1.9664721973279191</v>
      </c>
      <c r="C27">
        <v>7.0488523538917889</v>
      </c>
      <c r="E27" s="2">
        <v>34</v>
      </c>
      <c r="G27" cm="1">
        <f t="array" ref="G27">INDEX(_xlfn._TRO_TRAILING(A$2:A$1048576),$E27)</f>
        <v>-1.2268235900950013</v>
      </c>
      <c r="H27" cm="1">
        <f t="array" ref="H27">INDEX(_xlfn._TRO_TRAILING(B$2:B$1048576),$E27)</f>
        <v>1.6211421331405327</v>
      </c>
      <c r="I27" cm="1">
        <f t="array" ref="I27">INDEX(_xlfn._TRO_TRAILING(C$2:C$1048576),$E27)</f>
        <v>8.6278006669846334</v>
      </c>
      <c r="K27" s="61">
        <v>10682113</v>
      </c>
    </row>
    <row r="28" spans="1:11" x14ac:dyDescent="0.25">
      <c r="A28">
        <v>0.36186430308532391</v>
      </c>
      <c r="B28">
        <v>-2.0269331962029971</v>
      </c>
      <c r="C28">
        <v>8.0042313008398072</v>
      </c>
      <c r="E28" s="2">
        <v>33</v>
      </c>
      <c r="G28" cm="1">
        <f t="array" ref="G28">INDEX(_xlfn._TRO_TRAILING(A$2:A$1048576),$E28)</f>
        <v>-0.96994835532398449</v>
      </c>
      <c r="H28" cm="1">
        <f t="array" ref="H28">INDEX(_xlfn._TRO_TRAILING(B$2:B$1048576),$E28)</f>
        <v>0.98094615593681256</v>
      </c>
      <c r="I28" cm="1">
        <f t="array" ref="I28">INDEX(_xlfn._TRO_TRAILING(C$2:C$1048576),$E28)</f>
        <v>9.2829798302319837</v>
      </c>
      <c r="K28" s="62">
        <v>11861761</v>
      </c>
    </row>
    <row r="29" spans="1:11" x14ac:dyDescent="0.25">
      <c r="A29">
        <v>0.40612068877443519</v>
      </c>
      <c r="B29">
        <v>-2.0041632537473633</v>
      </c>
      <c r="C29">
        <v>8.9657377264920495</v>
      </c>
      <c r="E29" s="2">
        <v>32</v>
      </c>
      <c r="G29" cm="1">
        <f t="array" ref="G29">INDEX(_xlfn._TRO_TRAILING(A$2:A$1048576),$E29)</f>
        <v>-0.72879489947174136</v>
      </c>
      <c r="H29" cm="1">
        <f t="array" ref="H29">INDEX(_xlfn._TRO_TRAILING(B$2:B$1048576),$E29)</f>
        <v>0.3103706297419504</v>
      </c>
      <c r="I29" cm="1">
        <f t="array" ref="I29">INDEX(_xlfn._TRO_TRAILING(C$2:C$1048576),$E29)</f>
        <v>9.9046918020094417</v>
      </c>
      <c r="K29" s="7">
        <v>12648193</v>
      </c>
    </row>
    <row r="30" spans="1:11" x14ac:dyDescent="0.25">
      <c r="A30">
        <v>0.37652726687463989</v>
      </c>
      <c r="B30">
        <v>-1.8131296434348443</v>
      </c>
      <c r="C30">
        <v>9.8917478366367817</v>
      </c>
      <c r="E30" s="2">
        <v>31</v>
      </c>
      <c r="G30" cm="1">
        <f t="array" ref="G30">INDEX(_xlfn._TRO_TRAILING(A$2:A$1048576),$E30)</f>
        <v>-0.49243831913507091</v>
      </c>
      <c r="H30" cm="1">
        <f t="array" ref="H30">INDEX(_xlfn._TRO_TRAILING(B$2:B$1048576),$E30)</f>
        <v>-0.46195418727029652</v>
      </c>
      <c r="I30" cm="1">
        <f t="array" ref="I30">INDEX(_xlfn._TRO_TRAILING(C$2:C$1048576),$E30)</f>
        <v>10.378619181582335</v>
      </c>
      <c r="K30" s="20">
        <v>13827841</v>
      </c>
    </row>
    <row r="31" spans="1:11" x14ac:dyDescent="0.25">
      <c r="A31">
        <v>0.1296215355396271</v>
      </c>
      <c r="B31">
        <v>-1.1288367509841919</v>
      </c>
      <c r="C31">
        <v>10.499812126159668</v>
      </c>
      <c r="E31" s="2">
        <v>30</v>
      </c>
      <c r="G31" cm="1">
        <f t="array" ref="G31">INDEX(_xlfn._TRO_TRAILING(A$2:A$1048576),$E31)</f>
        <v>0.1296215355396271</v>
      </c>
      <c r="H31" cm="1">
        <f t="array" ref="H31">INDEX(_xlfn._TRO_TRAILING(B$2:B$1048576),$E31)</f>
        <v>-1.1288367509841919</v>
      </c>
      <c r="I31" cm="1">
        <f t="array" ref="I31">INDEX(_xlfn._TRO_TRAILING(C$2:C$1048576),$E31)</f>
        <v>10.499812126159668</v>
      </c>
      <c r="K31" s="63">
        <v>14614273</v>
      </c>
    </row>
    <row r="32" spans="1:11" x14ac:dyDescent="0.25">
      <c r="A32">
        <v>-0.49243831913507091</v>
      </c>
      <c r="B32">
        <v>-0.46195418727029652</v>
      </c>
      <c r="C32">
        <v>10.378619181582335</v>
      </c>
      <c r="E32" s="2">
        <v>29</v>
      </c>
      <c r="G32" cm="1">
        <f t="array" ref="G32">INDEX(_xlfn._TRO_TRAILING(A$2:A$1048576),$E32)</f>
        <v>0.37652726687463989</v>
      </c>
      <c r="H32" cm="1">
        <f t="array" ref="H32">INDEX(_xlfn._TRO_TRAILING(B$2:B$1048576),$E32)</f>
        <v>-1.8131296434348443</v>
      </c>
      <c r="I32" cm="1">
        <f t="array" ref="I32">INDEX(_xlfn._TRO_TRAILING(C$2:C$1048576),$E32)</f>
        <v>9.8917478366367817</v>
      </c>
      <c r="K32" s="64">
        <v>15793921</v>
      </c>
    </row>
    <row r="33" spans="1:11" x14ac:dyDescent="0.25">
      <c r="A33">
        <v>-0.72879489947174136</v>
      </c>
      <c r="B33">
        <v>0.3103706297419504</v>
      </c>
      <c r="C33">
        <v>9.9046918020094417</v>
      </c>
      <c r="E33" s="2">
        <v>28</v>
      </c>
      <c r="G33" cm="1">
        <f t="array" ref="G33">INDEX(_xlfn._TRO_TRAILING(A$2:A$1048576),$E33)</f>
        <v>0.40612068877443519</v>
      </c>
      <c r="H33" cm="1">
        <f t="array" ref="H33">INDEX(_xlfn._TRO_TRAILING(B$2:B$1048576),$E33)</f>
        <v>-2.0041632537473633</v>
      </c>
      <c r="I33" cm="1">
        <f t="array" ref="I33">INDEX(_xlfn._TRO_TRAILING(C$2:C$1048576),$E33)</f>
        <v>8.9657377264920495</v>
      </c>
      <c r="K33" s="65">
        <v>16580353</v>
      </c>
    </row>
    <row r="34" spans="1:11" x14ac:dyDescent="0.25">
      <c r="A34">
        <v>-0.96994835532398449</v>
      </c>
      <c r="B34">
        <v>0.98094615593681256</v>
      </c>
      <c r="C34">
        <v>9.2829798302319837</v>
      </c>
      <c r="E34" s="2">
        <v>27</v>
      </c>
      <c r="G34" cm="1">
        <f t="array" ref="G34">INDEX(_xlfn._TRO_TRAILING(A$2:A$1048576),$E34)</f>
        <v>0.36186430308532391</v>
      </c>
      <c r="H34" cm="1">
        <f t="array" ref="H34">INDEX(_xlfn._TRO_TRAILING(B$2:B$1048576),$E34)</f>
        <v>-2.0269331962029971</v>
      </c>
      <c r="I34" cm="1">
        <f t="array" ref="I34">INDEX(_xlfn._TRO_TRAILING(C$2:C$1048576),$E34)</f>
        <v>8.0042313008398072</v>
      </c>
      <c r="K34" s="8">
        <v>16773121</v>
      </c>
    </row>
    <row r="35" spans="1:11" x14ac:dyDescent="0.25">
      <c r="A35">
        <v>-1.2268235900950013</v>
      </c>
      <c r="B35">
        <v>1.6211421331405327</v>
      </c>
      <c r="C35">
        <v>8.6278006669846334</v>
      </c>
      <c r="E35" s="2">
        <v>26</v>
      </c>
      <c r="G35" cm="1">
        <f t="array" ref="G35">INDEX(_xlfn._TRO_TRAILING(A$2:A$1048576),$E35)</f>
        <v>0.3405232726769587</v>
      </c>
      <c r="H35" cm="1">
        <f t="array" ref="H35">INDEX(_xlfn._TRO_TRAILING(B$2:B$1048576),$E35)</f>
        <v>-1.9664721973279191</v>
      </c>
      <c r="I35" cm="1">
        <f t="array" ref="I35">INDEX(_xlfn._TRO_TRAILING(C$2:C$1048576),$E35)</f>
        <v>7.0488523538917889</v>
      </c>
      <c r="K35" s="66">
        <v>16770049</v>
      </c>
    </row>
    <row r="36" spans="1:11" x14ac:dyDescent="0.25">
      <c r="A36">
        <v>-1.4924952603624471</v>
      </c>
      <c r="B36">
        <v>2.2241073431312297</v>
      </c>
      <c r="C36">
        <v>7.9504660269942491</v>
      </c>
      <c r="E36" s="2">
        <v>25</v>
      </c>
      <c r="G36" cm="1">
        <f t="array" ref="G36">INDEX(_xlfn._TRO_TRAILING(A$2:A$1048576),$E36)</f>
        <v>0.40265226383934821</v>
      </c>
      <c r="H36" cm="1">
        <f t="array" ref="H36">INDEX(_xlfn._TRO_TRAILING(B$2:B$1048576),$E36)</f>
        <v>-1.8317666506702586</v>
      </c>
      <c r="I36" cm="1">
        <f t="array" ref="I36">INDEX(_xlfn._TRO_TRAILING(C$2:C$1048576),$E36)</f>
        <v>6.1021408398658563</v>
      </c>
      <c r="K36" s="31">
        <v>16765441</v>
      </c>
    </row>
    <row r="37" spans="1:11" x14ac:dyDescent="0.25">
      <c r="A37">
        <v>-1.7298813083826874</v>
      </c>
      <c r="B37">
        <v>2.7961515076456731</v>
      </c>
      <c r="C37">
        <v>7.2328481039386938</v>
      </c>
      <c r="E37" s="2">
        <v>24</v>
      </c>
      <c r="G37" cm="1">
        <f t="array" ref="G37">INDEX(_xlfn._TRO_TRAILING(A$2:A$1048576),$E37)</f>
        <v>0.377903956655814</v>
      </c>
      <c r="H37" cm="1">
        <f t="array" ref="H37">INDEX(_xlfn._TRO_TRAILING(B$2:B$1048576),$E37)</f>
        <v>-1.6120193086353578</v>
      </c>
      <c r="I37" cm="1">
        <f t="array" ref="I37">INDEX(_xlfn._TRO_TRAILING(C$2:C$1048576),$E37)</f>
        <v>5.1654891641646747</v>
      </c>
      <c r="K37" s="67">
        <v>16762369</v>
      </c>
    </row>
    <row r="38" spans="1:11" x14ac:dyDescent="0.25">
      <c r="A38">
        <v>-1.7984440433705331</v>
      </c>
      <c r="B38">
        <v>3.3603125049201319</v>
      </c>
      <c r="C38">
        <v>6.4761556647867788</v>
      </c>
      <c r="E38" s="2">
        <v>23</v>
      </c>
      <c r="G38" cm="1">
        <f t="array" ref="G38">INDEX(_xlfn._TRO_TRAILING(A$2:A$1048576),$E38)</f>
        <v>0.294970492045388</v>
      </c>
      <c r="H38" cm="1">
        <f t="array" ref="H38">INDEX(_xlfn._TRO_TRAILING(B$2:B$1048576),$E38)</f>
        <v>-1.3755549955431188</v>
      </c>
      <c r="I38" cm="1">
        <f t="array" ref="I38">INDEX(_xlfn._TRO_TRAILING(C$2:C$1048576),$E38)</f>
        <v>4.2371867158632037</v>
      </c>
      <c r="K38" s="6">
        <v>16757761</v>
      </c>
    </row>
    <row r="39" spans="1:11" x14ac:dyDescent="0.25">
      <c r="A39">
        <v>-1.8400731412421871</v>
      </c>
      <c r="B39">
        <v>3.8688298497377835</v>
      </c>
      <c r="C39">
        <v>5.6793828480477702</v>
      </c>
      <c r="E39" s="2">
        <v>22</v>
      </c>
      <c r="G39" cm="1">
        <f t="array" ref="G39">INDEX(_xlfn._TRO_TRAILING(A$2:A$1048576),$E39)</f>
        <v>0.1370405451093204</v>
      </c>
      <c r="H39" cm="1">
        <f t="array" ref="H39">INDEX(_xlfn._TRO_TRAILING(B$2:B$1048576),$E39)</f>
        <v>-1.1221801424142552</v>
      </c>
      <c r="I39" cm="1">
        <f t="array" ref="I39">INDEX(_xlfn._TRO_TRAILING(C$2:C$1048576),$E39)</f>
        <v>3.3426032917827566</v>
      </c>
      <c r="K39" s="32">
        <v>16754689</v>
      </c>
    </row>
    <row r="40" spans="1:11" x14ac:dyDescent="0.25">
      <c r="A40">
        <v>-1.8909601401172342</v>
      </c>
      <c r="B40">
        <v>4.3570652367770251</v>
      </c>
      <c r="C40">
        <v>4.8669832813512945</v>
      </c>
      <c r="E40" s="2">
        <v>21</v>
      </c>
      <c r="G40" cm="1">
        <f t="array" ref="G40">INDEX(_xlfn._TRO_TRAILING(A$2:A$1048576),$E40)</f>
        <v>9.8485881534955994E-2</v>
      </c>
      <c r="H40" cm="1">
        <f t="array" ref="H40">INDEX(_xlfn._TRO_TRAILING(B$2:B$1048576),$E40)</f>
        <v>-1.1210776994477354</v>
      </c>
      <c r="I40" cm="1">
        <f t="array" ref="I40">INDEX(_xlfn._TRO_TRAILING(C$2:C$1048576),$E40)</f>
        <v>2.3994091727357629</v>
      </c>
      <c r="K40" s="68">
        <v>16750081</v>
      </c>
    </row>
    <row r="41" spans="1:11" x14ac:dyDescent="0.25">
      <c r="A41">
        <v>-1.9147378704007429</v>
      </c>
      <c r="B41">
        <v>4.7614014586610773</v>
      </c>
      <c r="C41">
        <v>4.0184753205510839</v>
      </c>
      <c r="E41" s="2">
        <v>20</v>
      </c>
      <c r="G41" cm="1">
        <f t="array" ref="G41">INDEX(_xlfn._TRO_TRAILING(A$2:A$1048576),$E41)</f>
        <v>5.4586355366224E-3</v>
      </c>
      <c r="H41" cm="1">
        <f t="array" ref="H41">INDEX(_xlfn._TRO_TRAILING(B$2:B$1048576),$E41)</f>
        <v>-1.1004088138923058</v>
      </c>
      <c r="I41" cm="1">
        <f t="array" ref="I41">INDEX(_xlfn._TRO_TRAILING(C$2:C$1048576),$E41)</f>
        <v>1.4475197009785215</v>
      </c>
      <c r="K41" s="69">
        <v>16747009</v>
      </c>
    </row>
    <row r="42" spans="1:11" x14ac:dyDescent="0.25">
      <c r="A42">
        <v>-1.7561081503006286</v>
      </c>
      <c r="B42">
        <v>5.0383344849149658</v>
      </c>
      <c r="C42">
        <v>3.1267295205374541</v>
      </c>
      <c r="E42" s="2">
        <v>19</v>
      </c>
      <c r="G42" cm="1">
        <f t="array" ref="G42">INDEX(_xlfn._TRO_TRAILING(A$2:A$1048576),$E42)</f>
        <v>2.6167736940643799E-2</v>
      </c>
      <c r="H42" cm="1">
        <f t="array" ref="H42">INDEX(_xlfn._TRO_TRAILING(B$2:B$1048576),$E42)</f>
        <v>-1.1442955588058081</v>
      </c>
      <c r="I42" cm="1">
        <f t="array" ref="I42">INDEX(_xlfn._TRO_TRAILING(C$2:C$1048576),$E42)</f>
        <v>0.49263577145151011</v>
      </c>
      <c r="K42" s="21">
        <v>16742657</v>
      </c>
    </row>
    <row r="43" spans="1:11" x14ac:dyDescent="0.25">
      <c r="A43">
        <v>-1.6134055638939433</v>
      </c>
      <c r="B43">
        <v>5.2764577329115623</v>
      </c>
      <c r="C43">
        <v>2.2207310625197638</v>
      </c>
      <c r="E43" s="2">
        <v>18</v>
      </c>
      <c r="G43" cm="1">
        <f t="array" ref="G43">INDEX(_xlfn._TRO_TRAILING(A$2:A$1048576),$E43)</f>
        <v>0.15581117074215611</v>
      </c>
      <c r="H43" cm="1">
        <f t="array" ref="H43">INDEX(_xlfn._TRO_TRAILING(B$2:B$1048576),$E43)</f>
        <v>-1.3940287606801065</v>
      </c>
      <c r="I43" cm="1">
        <f t="array" ref="I43">INDEX(_xlfn._TRO_TRAILING(C$2:C$1048576),$E43)</f>
        <v>-0.4136170213726475</v>
      </c>
      <c r="K43" s="70">
        <v>16739585</v>
      </c>
    </row>
    <row r="44" spans="1:11" x14ac:dyDescent="0.25">
      <c r="A44">
        <v>-1.5063662301244154</v>
      </c>
      <c r="B44">
        <v>5.4504066115769838</v>
      </c>
      <c r="C44">
        <v>1.2957039139087561</v>
      </c>
      <c r="E44" s="2">
        <v>17</v>
      </c>
      <c r="G44" cm="1">
        <f t="array" ref="G44">INDEX(_xlfn._TRO_TRAILING(A$2:A$1048576),$E44)</f>
        <v>0.36188979562057472</v>
      </c>
      <c r="H44" cm="1">
        <f t="array" ref="H44">INDEX(_xlfn._TRO_TRAILING(B$2:B$1048576),$E44)</f>
        <v>-1.6987607121011763</v>
      </c>
      <c r="I44" cm="1">
        <f t="array" ref="I44">INDEX(_xlfn._TRO_TRAILING(C$2:C$1048576),$E44)</f>
        <v>-1.277713570015869</v>
      </c>
      <c r="K44" s="71">
        <v>16734977</v>
      </c>
    </row>
    <row r="45" spans="1:11" x14ac:dyDescent="0.25">
      <c r="A45">
        <v>-1.4370666829921102</v>
      </c>
      <c r="B45">
        <v>5.5306277872036604</v>
      </c>
      <c r="C45">
        <v>0.3526734887003713</v>
      </c>
      <c r="E45" s="2">
        <v>16</v>
      </c>
      <c r="G45" cm="1">
        <f t="array" ref="G45">INDEX(_xlfn._TRO_TRAILING(A$2:A$1048576),$E45)</f>
        <v>0.94863499544245389</v>
      </c>
      <c r="H45" cm="1">
        <f t="array" ref="H45">INDEX(_xlfn._TRO_TRAILING(B$2:B$1048576),$E45)</f>
        <v>-2.2561085947856223</v>
      </c>
      <c r="I45" cm="1">
        <f t="array" ref="I45">INDEX(_xlfn._TRO_TRAILING(C$2:C$1048576),$E45)</f>
        <v>-1.4745835386135795</v>
      </c>
      <c r="K45" s="72">
        <v>16731905</v>
      </c>
    </row>
    <row r="46" spans="1:11" x14ac:dyDescent="0.25">
      <c r="A46">
        <v>-1.262023963885585</v>
      </c>
      <c r="B46">
        <v>5.6550650258783568</v>
      </c>
      <c r="C46">
        <v>-0.56312072758906906</v>
      </c>
      <c r="E46" s="2">
        <v>15</v>
      </c>
      <c r="G46" cm="1">
        <f t="array" ref="G46">INDEX(_xlfn._TRO_TRAILING(A$2:A$1048576),$E46)</f>
        <v>1.1777667483877401</v>
      </c>
      <c r="H46" cm="1">
        <f t="array" ref="H46">INDEX(_xlfn._TRO_TRAILING(B$2:B$1048576),$E46)</f>
        <v>-2.5408011081346529</v>
      </c>
      <c r="I46" cm="1">
        <f t="array" ref="I46">INDEX(_xlfn._TRO_TRAILING(C$2:C$1048576),$E46)</f>
        <v>-0.6059297010320881</v>
      </c>
      <c r="K46" s="22">
        <v>16727297</v>
      </c>
    </row>
    <row r="47" spans="1:11" x14ac:dyDescent="0.25">
      <c r="A47">
        <v>-0.8726996193600236</v>
      </c>
      <c r="B47">
        <v>5.7938229381995132</v>
      </c>
      <c r="C47">
        <v>-1.4164895599628524</v>
      </c>
      <c r="E47" s="2">
        <v>14</v>
      </c>
      <c r="G47" cm="1">
        <f t="array" ref="G47">INDEX(_xlfn._TRO_TRAILING(A$2:A$1048576),$E47)</f>
        <v>0.98999898884209003</v>
      </c>
      <c r="H47" cm="1">
        <f t="array" ref="H47">INDEX(_xlfn._TRO_TRAILING(B$2:B$1048576),$E47)</f>
        <v>-2.6926649522664832</v>
      </c>
      <c r="I47" cm="1">
        <f t="array" ref="I47">INDEX(_xlfn._TRO_TRAILING(C$2:C$1048576),$E47)</f>
        <v>0.2856730638728785</v>
      </c>
      <c r="K47" s="73">
        <v>16724225</v>
      </c>
    </row>
    <row r="48" spans="1:11" x14ac:dyDescent="0.25">
      <c r="A48">
        <v>-0.70186481021612268</v>
      </c>
      <c r="B48">
        <v>6.390883731885495</v>
      </c>
      <c r="C48">
        <v>-2.0241181181630257</v>
      </c>
      <c r="E48" s="2">
        <v>13</v>
      </c>
      <c r="G48" cm="1">
        <f t="array" ref="G48">INDEX(_xlfn._TRO_TRAILING(A$2:A$1048576),$E48)</f>
        <v>0.6135891998290659</v>
      </c>
      <c r="H48" cm="1">
        <f t="array" ref="H48">INDEX(_xlfn._TRO_TRAILING(B$2:B$1048576),$E48)</f>
        <v>-2.8462977298285042</v>
      </c>
      <c r="I48" cm="1">
        <f t="array" ref="I48">INDEX(_xlfn._TRO_TRAILING(C$2:C$1048576),$E48)</f>
        <v>1.1534991473628076</v>
      </c>
      <c r="K48" s="74">
        <v>16719617</v>
      </c>
    </row>
    <row r="49" spans="1:11" x14ac:dyDescent="0.25">
      <c r="A49">
        <v>-0.53406935388788801</v>
      </c>
      <c r="B49">
        <v>6.9201975356587404</v>
      </c>
      <c r="C49">
        <v>-1.4453949410782077</v>
      </c>
      <c r="E49" s="2">
        <v>12</v>
      </c>
      <c r="G49" cm="1">
        <f t="array" ref="G49">INDEX(_xlfn._TRO_TRAILING(A$2:A$1048576),$E49)</f>
        <v>0.30163288449920911</v>
      </c>
      <c r="H49" cm="1">
        <f t="array" ref="H49">INDEX(_xlfn._TRO_TRAILING(B$2:B$1048576),$E49)</f>
        <v>-2.9187564901775853</v>
      </c>
      <c r="I49" cm="1">
        <f t="array" ref="I49">INDEX(_xlfn._TRO_TRAILING(C$2:C$1048576),$E49)</f>
        <v>2.0396368585684783</v>
      </c>
      <c r="K49" s="75">
        <v>16716545</v>
      </c>
    </row>
    <row r="50" spans="1:11" x14ac:dyDescent="0.25">
      <c r="A50">
        <v>-0.35873172321311703</v>
      </c>
      <c r="B50">
        <v>7.0396332021519576</v>
      </c>
      <c r="C50">
        <v>-0.57159759202618188</v>
      </c>
      <c r="E50" s="2">
        <v>11</v>
      </c>
      <c r="G50" cm="1">
        <f t="array" ref="G50">INDEX(_xlfn._TRO_TRAILING(A$2:A$1048576),$E50)</f>
        <v>0.38401372514896659</v>
      </c>
      <c r="H50" cm="1">
        <f t="array" ref="H50">INDEX(_xlfn._TRO_TRAILING(B$2:B$1048576),$E50)</f>
        <v>-2.8739650900740936</v>
      </c>
      <c r="I50" cm="1">
        <f t="array" ref="I50">INDEX(_xlfn._TRO_TRAILING(C$2:C$1048576),$E50)</f>
        <v>2.9912632165236728</v>
      </c>
      <c r="K50" s="23">
        <v>16711937</v>
      </c>
    </row>
    <row r="51" spans="1:11" x14ac:dyDescent="0.25">
      <c r="A51">
        <v>-0.46910836370970338</v>
      </c>
      <c r="B51">
        <v>6.8232370511784382</v>
      </c>
      <c r="C51">
        <v>0.34131991847775422</v>
      </c>
      <c r="E51" s="2">
        <v>10</v>
      </c>
      <c r="G51" cm="1">
        <f t="array" ref="G51">INDEX(_xlfn._TRO_TRAILING(A$2:A$1048576),$E51)</f>
        <v>0.53803139296501845</v>
      </c>
      <c r="H51" cm="1">
        <f t="array" ref="H51">INDEX(_xlfn._TRO_TRAILING(B$2:B$1048576),$E51)</f>
        <v>-3.2555416248080227</v>
      </c>
      <c r="I51" cm="1">
        <f t="array" ref="I51">INDEX(_xlfn._TRO_TRAILING(C$2:C$1048576),$E51)</f>
        <v>3.7434249297184494</v>
      </c>
      <c r="K51" s="33">
        <v>16711949</v>
      </c>
    </row>
    <row r="52" spans="1:11" x14ac:dyDescent="0.25">
      <c r="A52">
        <v>-0.51861893647741508</v>
      </c>
      <c r="B52">
        <v>6.5670039748351119</v>
      </c>
      <c r="C52">
        <v>1.2471772105222836</v>
      </c>
      <c r="E52" s="2">
        <v>9</v>
      </c>
      <c r="G52" cm="1">
        <f t="array" ref="G52">INDEX(_xlfn._TRO_TRAILING(A$2:A$1048576),$E52)</f>
        <v>0.67843102527060584</v>
      </c>
      <c r="H52" cm="1">
        <f t="array" ref="H52">INDEX(_xlfn._TRO_TRAILING(B$2:B$1048576),$E52)</f>
        <v>-4.1085110651871535</v>
      </c>
      <c r="I52" cm="1">
        <f t="array" ref="I52">INDEX(_xlfn._TRO_TRAILING(C$2:C$1048576),$E52)</f>
        <v>3.3601774471381738</v>
      </c>
      <c r="K52" s="76">
        <v>16711967</v>
      </c>
    </row>
    <row r="53" spans="1:11" x14ac:dyDescent="0.25">
      <c r="A53">
        <v>-0.49250426785481549</v>
      </c>
      <c r="B53">
        <v>6.9365276332856869</v>
      </c>
      <c r="C53">
        <v>1.9208801629409717</v>
      </c>
      <c r="E53" s="2">
        <v>8</v>
      </c>
      <c r="G53" cm="1">
        <f t="array" ref="G53">INDEX(_xlfn._TRO_TRAILING(A$2:A$1048576),$E53)</f>
        <v>0.84775550409915013</v>
      </c>
      <c r="H53" cm="1">
        <f t="array" ref="H53">INDEX(_xlfn._TRO_TRAILING(B$2:B$1048576),$E53)</f>
        <v>-4.786169219732149</v>
      </c>
      <c r="I53" cm="1">
        <f t="array" ref="I53">INDEX(_xlfn._TRO_TRAILING(C$2:C$1048576),$E53)</f>
        <v>2.7017871374413973</v>
      </c>
      <c r="K53" s="77">
        <v>16711979</v>
      </c>
    </row>
    <row r="54" spans="1:11" x14ac:dyDescent="0.25">
      <c r="A54">
        <v>-0.40857309881883819</v>
      </c>
      <c r="B54">
        <v>7.8437019695972081</v>
      </c>
      <c r="C54">
        <v>1.6911418975681298</v>
      </c>
      <c r="E54" s="2">
        <v>7</v>
      </c>
      <c r="G54" cm="1">
        <f t="array" ref="G54">INDEX(_xlfn._TRO_TRAILING(A$2:A$1048576),$E54)</f>
        <v>0.97490882861232619</v>
      </c>
      <c r="H54" cm="1">
        <f t="array" ref="H54">INDEX(_xlfn._TRO_TRAILING(B$2:B$1048576),$E54)</f>
        <v>-5.3221025084352007</v>
      </c>
      <c r="I54" cm="1">
        <f t="array" ref="I54">INDEX(_xlfn._TRO_TRAILING(C$2:C$1048576),$E54)</f>
        <v>1.9154835102051835</v>
      </c>
      <c r="K54" s="24">
        <v>16711997</v>
      </c>
    </row>
    <row r="55" spans="1:11" x14ac:dyDescent="0.25">
      <c r="A55">
        <v>-0.30389824637419022</v>
      </c>
      <c r="B55">
        <v>8.6460297151156613</v>
      </c>
      <c r="C55">
        <v>1.2004997428527466</v>
      </c>
      <c r="E55" s="2">
        <v>6</v>
      </c>
      <c r="G55" cm="1">
        <f t="array" ref="G55">INDEX(_xlfn._TRO_TRAILING(A$2:A$1048576),$E55)</f>
        <v>1.0684275359797368</v>
      </c>
      <c r="H55" cm="1">
        <f t="array" ref="H55">INDEX(_xlfn._TRO_TRAILING(B$2:B$1048576),$E55)</f>
        <v>-5.7637798352172513</v>
      </c>
      <c r="I55" cm="1">
        <f t="array" ref="I55">INDEX(_xlfn._TRO_TRAILING(C$2:C$1048576),$E55)</f>
        <v>1.0678459251652783</v>
      </c>
      <c r="K55" s="78">
        <v>16712009</v>
      </c>
    </row>
    <row r="56" spans="1:11" x14ac:dyDescent="0.25">
      <c r="A56">
        <v>-0.16516508388127499</v>
      </c>
      <c r="B56">
        <v>9.2966299275292101</v>
      </c>
      <c r="C56">
        <v>0.52587586788446083</v>
      </c>
      <c r="E56" s="2">
        <v>5</v>
      </c>
      <c r="G56" cm="1">
        <f t="array" ref="G56">INDEX(_xlfn._TRO_TRAILING(A$2:A$1048576),$E56)</f>
        <v>1.1482784663834416</v>
      </c>
      <c r="H56" cm="1">
        <f t="array" ref="H56">INDEX(_xlfn._TRO_TRAILING(B$2:B$1048576),$E56)</f>
        <v>-6.0802997591934096</v>
      </c>
      <c r="I56" cm="1">
        <f t="array" ref="I56">INDEX(_xlfn._TRO_TRAILING(C$2:C$1048576),$E56)</f>
        <v>0.16535708898121049</v>
      </c>
      <c r="K56" s="34">
        <v>16712027</v>
      </c>
    </row>
    <row r="57" spans="1:11" x14ac:dyDescent="0.25">
      <c r="A57">
        <v>-7.5726541711680195E-2</v>
      </c>
      <c r="B57">
        <v>9.7982654174915957</v>
      </c>
      <c r="C57">
        <v>-0.27309636104306428</v>
      </c>
      <c r="E57" s="2">
        <v>4</v>
      </c>
      <c r="G57" cm="1">
        <f t="array" ref="G57">INDEX(_xlfn._TRO_TRAILING(A$2:A$1048576),$E57)</f>
        <v>1.2325752278161364</v>
      </c>
      <c r="H57" cm="1">
        <f t="array" ref="H57">INDEX(_xlfn._TRO_TRAILING(B$2:B$1048576),$E57)</f>
        <v>-6.3299690581533223</v>
      </c>
      <c r="I57" cm="1">
        <f t="array" ref="I57">INDEX(_xlfn._TRO_TRAILING(C$2:C$1048576),$E57)</f>
        <v>-0.76002898627643378</v>
      </c>
      <c r="K57" s="79">
        <v>16712039</v>
      </c>
    </row>
    <row r="58" spans="1:11" x14ac:dyDescent="0.25">
      <c r="A58">
        <v>-6.3846360167714002E-3</v>
      </c>
      <c r="B58">
        <v>10.210066670320158</v>
      </c>
      <c r="C58">
        <v>-1.1170032194952413</v>
      </c>
      <c r="E58" s="2">
        <v>3</v>
      </c>
      <c r="G58" cm="1">
        <f t="array" ref="G58">INDEX(_xlfn._TRO_TRAILING(A$2:A$1048576),$E58)</f>
        <v>1.3389888360076625</v>
      </c>
      <c r="H58" cm="1">
        <f t="array" ref="H58">INDEX(_xlfn._TRO_TRAILING(B$2:B$1048576),$E58)</f>
        <v>-6.4951646993781837</v>
      </c>
      <c r="I58" cm="1">
        <f t="array" ref="I58">INDEX(_xlfn._TRO_TRAILING(C$2:C$1048576),$E58)</f>
        <v>-1.7013898339219042</v>
      </c>
      <c r="K58" s="25">
        <v>16712057</v>
      </c>
    </row>
    <row r="59" spans="1:11" x14ac:dyDescent="0.25">
      <c r="A59">
        <v>-8.9466557636820002E-4</v>
      </c>
      <c r="B59">
        <v>10.543247015723965</v>
      </c>
      <c r="C59">
        <v>-1.9926165920735159</v>
      </c>
      <c r="E59" s="2">
        <v>2</v>
      </c>
      <c r="G59" cm="1">
        <f t="array" ref="G59">INDEX(_xlfn._TRO_TRAILING(A$2:A$1048576),$E59)</f>
        <v>1.4409294991424801</v>
      </c>
      <c r="H59" cm="1">
        <f t="array" ref="H59">INDEX(_xlfn._TRO_TRAILING(B$2:B$1048576),$E59)</f>
        <v>-6.689811879366717</v>
      </c>
      <c r="I59" cm="1">
        <f t="array" ref="I59">INDEX(_xlfn._TRO_TRAILING(C$2:C$1048576),$E59)</f>
        <v>-2.6397353757579385</v>
      </c>
      <c r="K59" s="80">
        <v>16712068</v>
      </c>
    </row>
    <row r="60" spans="1:11" x14ac:dyDescent="0.25">
      <c r="A60">
        <v>-2.1190410532187999E-3</v>
      </c>
      <c r="B60">
        <v>10.779005970932054</v>
      </c>
      <c r="C60">
        <v>-2.9050750744033538</v>
      </c>
      <c r="E60" s="2">
        <v>1</v>
      </c>
      <c r="G60" cm="1">
        <f t="array" ref="G60">INDEX(_xlfn._TRO_TRAILING(A$2:A$1048576),$E60)</f>
        <v>1.5649129716649255</v>
      </c>
      <c r="H60" cm="1">
        <f t="array" ref="H60">INDEX(_xlfn._TRO_TRAILING(B$2:B$1048576),$E60)</f>
        <v>-7.0323059273650781</v>
      </c>
      <c r="I60" cm="1">
        <f t="array" ref="I60">INDEX(_xlfn._TRO_TRAILING(C$2:C$1048576),$E60)</f>
        <v>-3.5275938319551279</v>
      </c>
      <c r="K60" s="81">
        <v>16712086</v>
      </c>
    </row>
  </sheetData>
  <sortState xmlns:xlrd2="http://schemas.microsoft.com/office/spreadsheetml/2017/richdata2" ref="E2:E60">
    <sortCondition descending="1" ref="E2:E60"/>
  </sortState>
  <dataConsolidate/>
  <conditionalFormatting sqref="E1:E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Load_Arch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02FF-059F-4AAF-84BC-F711A2D906D7}">
  <sheetPr codeName="Sheet3"/>
  <dimension ref="A1:V80"/>
  <sheetViews>
    <sheetView tabSelected="1" workbookViewId="0">
      <selection activeCell="J1" sqref="J1"/>
    </sheetView>
  </sheetViews>
  <sheetFormatPr defaultRowHeight="15" x14ac:dyDescent="0.25"/>
  <cols>
    <col min="4" max="4" width="2.28515625" customWidth="1"/>
    <col min="5" max="5" width="3.57031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/>
      <c r="L1" s="84" t="str" cm="1">
        <f t="array" ref="L1">FileNameMatch(Base!vbaFileName,Arch!vbaFileName)</f>
        <v>Leopard_seal_combined_basecurve_20landmarks_unsorted</v>
      </c>
      <c r="M1" s="84"/>
      <c r="N1" s="84"/>
      <c r="O1" s="84"/>
      <c r="P1" s="84"/>
      <c r="Q1" s="84"/>
      <c r="R1" s="84"/>
      <c r="S1" s="84"/>
      <c r="T1" s="84"/>
      <c r="U1" s="84"/>
      <c r="V1" s="84"/>
    </row>
    <row r="2" spans="1:22" x14ac:dyDescent="0.25">
      <c r="A2" cm="1">
        <f t="array" ref="A2:C80">_xlfn.VSTACK(GraphData_Base,GraphData_Arch)</f>
        <v>-2.0273180704274529</v>
      </c>
      <c r="B2">
        <v>9.7449269121728932</v>
      </c>
      <c r="C2">
        <v>-3.9125374805084308</v>
      </c>
      <c r="E2" s="82">
        <v>0</v>
      </c>
      <c r="F2" s="3" cm="1">
        <f t="array" ref="F2">HSLtoRGB(E2,255,128)</f>
        <v>66047</v>
      </c>
    </row>
    <row r="3" spans="1:22" x14ac:dyDescent="0.25">
      <c r="A3">
        <v>-3.0445845459140903</v>
      </c>
      <c r="B3">
        <v>7.566770567853081</v>
      </c>
      <c r="C3">
        <v>-3.7181208981761369</v>
      </c>
      <c r="E3" s="82">
        <v>2</v>
      </c>
      <c r="F3" s="35" cm="1">
        <f t="array" ref="F3">HSLtoRGB(E3,255,128)</f>
        <v>69119</v>
      </c>
    </row>
    <row r="4" spans="1:22" x14ac:dyDescent="0.25">
      <c r="A4">
        <v>-4.1759537164998557</v>
      </c>
      <c r="B4">
        <v>5.6932554952362704</v>
      </c>
      <c r="C4">
        <v>-3.3724249995059421</v>
      </c>
      <c r="E4" s="82">
        <v>5</v>
      </c>
      <c r="F4" s="36" cm="1">
        <f t="array" ref="F4">HSLtoRGB(E4,255,128)</f>
        <v>73727</v>
      </c>
    </row>
    <row r="5" spans="1:22" x14ac:dyDescent="0.25">
      <c r="A5">
        <v>-5.3575350458868023</v>
      </c>
      <c r="B5">
        <v>3.390133439662149</v>
      </c>
      <c r="C5">
        <v>-3.1515338713328247</v>
      </c>
      <c r="E5" s="82">
        <v>7</v>
      </c>
      <c r="F5" s="37" cm="1">
        <f t="array" ref="F5">HSLtoRGB(E5,255,128)</f>
        <v>76799</v>
      </c>
    </row>
    <row r="6" spans="1:22" x14ac:dyDescent="0.25">
      <c r="A6">
        <v>-4.4761566816088907</v>
      </c>
      <c r="B6">
        <v>0.85954101291214036</v>
      </c>
      <c r="C6">
        <v>-3.0108829995802058</v>
      </c>
      <c r="E6" s="82">
        <v>10</v>
      </c>
      <c r="F6" s="9" cm="1">
        <f t="array" ref="F6">HSLtoRGB(E6,255,128)</f>
        <v>81407</v>
      </c>
    </row>
    <row r="7" spans="1:22" x14ac:dyDescent="0.25">
      <c r="A7">
        <v>-3.1934595263646957</v>
      </c>
      <c r="B7">
        <v>-1.6188070562381975</v>
      </c>
      <c r="C7">
        <v>-3.6442313290212587</v>
      </c>
      <c r="E7" s="82">
        <v>12</v>
      </c>
      <c r="F7" s="4" cm="1">
        <f t="array" ref="F7">HSLtoRGB(E7,255,128)</f>
        <v>84479</v>
      </c>
    </row>
    <row r="8" spans="1:22" x14ac:dyDescent="0.25">
      <c r="A8">
        <v>-2.4433544876350899</v>
      </c>
      <c r="B8">
        <v>-3.8713701155560032</v>
      </c>
      <c r="C8">
        <v>-4.3670857533724705</v>
      </c>
      <c r="E8" s="82">
        <v>15</v>
      </c>
      <c r="F8" s="38" cm="1">
        <f t="array" ref="F8">HSLtoRGB(E8,255,128)</f>
        <v>89087</v>
      </c>
    </row>
    <row r="9" spans="1:22" x14ac:dyDescent="0.25">
      <c r="A9">
        <v>-1.5495274844921965</v>
      </c>
      <c r="B9">
        <v>-6.1195572357704711</v>
      </c>
      <c r="C9">
        <v>-4.5773917036174225</v>
      </c>
      <c r="E9" s="82">
        <v>17</v>
      </c>
      <c r="F9" s="39" cm="1">
        <f t="array" ref="F9">HSLtoRGB(E9,255,128)</f>
        <v>92159</v>
      </c>
    </row>
    <row r="10" spans="1:22" x14ac:dyDescent="0.25">
      <c r="A10">
        <v>-0.21071805858149539</v>
      </c>
      <c r="B10">
        <v>-7.6662562855741747</v>
      </c>
      <c r="C10">
        <v>-4.5876961271733219</v>
      </c>
      <c r="E10" s="82">
        <v>20</v>
      </c>
      <c r="F10" s="10" cm="1">
        <f t="array" ref="F10">HSLtoRGB(E10,255,128)</f>
        <v>96767</v>
      </c>
    </row>
    <row r="11" spans="1:22" x14ac:dyDescent="0.25">
      <c r="A11">
        <v>1.861040742714287</v>
      </c>
      <c r="B11">
        <v>-7.5960610217403408</v>
      </c>
      <c r="C11">
        <v>-4.2303579115207368</v>
      </c>
      <c r="E11" s="82">
        <v>22</v>
      </c>
      <c r="F11" s="40" cm="1">
        <f t="array" ref="F11">HSLtoRGB(E11,255,128)</f>
        <v>99583</v>
      </c>
    </row>
    <row r="12" spans="1:22" x14ac:dyDescent="0.25">
      <c r="A12">
        <v>3.2984823058920778</v>
      </c>
      <c r="B12">
        <v>-5.9426728599505028</v>
      </c>
      <c r="C12">
        <v>-3.9454394600590197</v>
      </c>
      <c r="E12" s="82">
        <v>25</v>
      </c>
      <c r="F12" s="5" cm="1">
        <f t="array" ref="F12">HSLtoRGB(E12,255,128)</f>
        <v>104191</v>
      </c>
    </row>
    <row r="13" spans="1:22" x14ac:dyDescent="0.25">
      <c r="A13">
        <v>4.4605449699774606</v>
      </c>
      <c r="B13">
        <v>-4.4863774009376103</v>
      </c>
      <c r="C13">
        <v>-4.3535236653077476</v>
      </c>
      <c r="E13" s="82">
        <v>27</v>
      </c>
      <c r="F13" s="41" cm="1">
        <f t="array" ref="F13">HSLtoRGB(E13,255,128)</f>
        <v>107263</v>
      </c>
    </row>
    <row r="14" spans="1:22" x14ac:dyDescent="0.25">
      <c r="A14">
        <v>5.0162838033523709</v>
      </c>
      <c r="B14">
        <v>-2.7308909706937716</v>
      </c>
      <c r="C14">
        <v>-3.5853896339435787</v>
      </c>
      <c r="E14" s="82">
        <v>30</v>
      </c>
      <c r="F14" s="11" cm="1">
        <f t="array" ref="F14">HSLtoRGB(E14,255,128)</f>
        <v>111871</v>
      </c>
    </row>
    <row r="15" spans="1:22" x14ac:dyDescent="0.25">
      <c r="A15">
        <v>4.9390727103266272</v>
      </c>
      <c r="B15">
        <v>-0.75211663094423353</v>
      </c>
      <c r="C15">
        <v>-2.749149295228932</v>
      </c>
      <c r="E15" s="82">
        <v>32</v>
      </c>
      <c r="F15" s="42" cm="1">
        <f t="array" ref="F15">HSLtoRGB(E15,255,128)</f>
        <v>114943</v>
      </c>
    </row>
    <row r="16" spans="1:22" x14ac:dyDescent="0.25">
      <c r="A16">
        <v>4.4454009617664454</v>
      </c>
      <c r="B16">
        <v>1.2489866307115891</v>
      </c>
      <c r="C16">
        <v>-2.7727444410369606</v>
      </c>
      <c r="E16" s="82">
        <v>35</v>
      </c>
      <c r="F16" s="43" cm="1">
        <f t="array" ref="F16">HSLtoRGB(E16,255,128)</f>
        <v>119551</v>
      </c>
    </row>
    <row r="17" spans="1:6" x14ac:dyDescent="0.25">
      <c r="A17">
        <v>3.9378875164849321</v>
      </c>
      <c r="B17">
        <v>2.9536625957445652</v>
      </c>
      <c r="C17">
        <v>-2.8238556612138215</v>
      </c>
      <c r="E17" s="82">
        <v>37</v>
      </c>
      <c r="F17" s="26" cm="1">
        <f t="array" ref="F17">HSLtoRGB(E17,255,128)</f>
        <v>122623</v>
      </c>
    </row>
    <row r="18" spans="1:6" x14ac:dyDescent="0.25">
      <c r="A18">
        <v>3.049543944726826</v>
      </c>
      <c r="B18">
        <v>5.3041080272148378</v>
      </c>
      <c r="C18">
        <v>-2.9828861413719134</v>
      </c>
      <c r="E18" s="82">
        <v>40</v>
      </c>
      <c r="F18" s="12" cm="1">
        <f t="array" ref="F18">HSLtoRGB(E18,255,128)</f>
        <v>127231</v>
      </c>
    </row>
    <row r="19" spans="1:6" x14ac:dyDescent="0.25">
      <c r="A19">
        <v>2.4846780080020117</v>
      </c>
      <c r="B19">
        <v>7.37169282110382</v>
      </c>
      <c r="C19">
        <v>-3.38022905838177</v>
      </c>
      <c r="E19" s="82">
        <v>42</v>
      </c>
      <c r="F19" s="44" cm="1">
        <f t="array" ref="F19">HSLtoRGB(E19,255,128)</f>
        <v>130303</v>
      </c>
    </row>
    <row r="20" spans="1:6" x14ac:dyDescent="0.25">
      <c r="A20">
        <v>1.8388751363739979</v>
      </c>
      <c r="B20">
        <v>9.4901356499565885</v>
      </c>
      <c r="C20">
        <v>-3.6261950619646335</v>
      </c>
      <c r="E20" s="82">
        <v>45</v>
      </c>
      <c r="F20" s="45" cm="1">
        <f t="array" ref="F20">HSLtoRGB(E20,255,128)</f>
        <v>131056</v>
      </c>
    </row>
    <row r="21" spans="1:6" x14ac:dyDescent="0.25">
      <c r="A21">
        <v>8.0684060230850002E-4</v>
      </c>
      <c r="B21">
        <v>10.834717750549316</v>
      </c>
      <c r="C21">
        <v>-3.8408215045928955</v>
      </c>
      <c r="E21" s="82">
        <v>47</v>
      </c>
      <c r="F21" s="46" cm="1">
        <f t="array" ref="F21">HSLtoRGB(E21,255,128)</f>
        <v>131044</v>
      </c>
    </row>
    <row r="22" spans="1:6" x14ac:dyDescent="0.25">
      <c r="A22">
        <v>-2.1190410532187999E-3</v>
      </c>
      <c r="B22">
        <v>10.779005970932054</v>
      </c>
      <c r="C22">
        <v>-2.9050750744033538</v>
      </c>
      <c r="E22" s="82">
        <v>50</v>
      </c>
      <c r="F22" s="13" cm="1">
        <f t="array" ref="F22">HSLtoRGB(E22,255,128)</f>
        <v>131026</v>
      </c>
    </row>
    <row r="23" spans="1:6" x14ac:dyDescent="0.25">
      <c r="A23">
        <v>-8.9466557636820002E-4</v>
      </c>
      <c r="B23">
        <v>10.543247015723965</v>
      </c>
      <c r="C23">
        <v>-1.9926165920735159</v>
      </c>
      <c r="E23" s="82">
        <v>52</v>
      </c>
      <c r="F23" s="47" cm="1">
        <f t="array" ref="F23">HSLtoRGB(E23,255,128)</f>
        <v>131014</v>
      </c>
    </row>
    <row r="24" spans="1:6" x14ac:dyDescent="0.25">
      <c r="A24">
        <v>-6.3846360167714002E-3</v>
      </c>
      <c r="B24">
        <v>10.210066670320158</v>
      </c>
      <c r="C24">
        <v>-1.1170032194952413</v>
      </c>
      <c r="E24" s="82">
        <v>55</v>
      </c>
      <c r="F24" s="27" cm="1">
        <f t="array" ref="F24">HSLtoRGB(E24,255,128)</f>
        <v>130996</v>
      </c>
    </row>
    <row r="25" spans="1:6" x14ac:dyDescent="0.25">
      <c r="A25">
        <v>-7.5726541711680195E-2</v>
      </c>
      <c r="B25">
        <v>9.7982654174915957</v>
      </c>
      <c r="C25">
        <v>-0.27309636104306428</v>
      </c>
      <c r="E25" s="82">
        <v>57</v>
      </c>
      <c r="F25" s="48" cm="1">
        <f t="array" ref="F25">HSLtoRGB(E25,255,128)</f>
        <v>130984</v>
      </c>
    </row>
    <row r="26" spans="1:6" x14ac:dyDescent="0.25">
      <c r="A26">
        <v>-0.16516508388127499</v>
      </c>
      <c r="B26">
        <v>9.2966299275292101</v>
      </c>
      <c r="C26">
        <v>0.52587586788446083</v>
      </c>
      <c r="E26" s="82">
        <v>60</v>
      </c>
      <c r="F26" s="14" cm="1">
        <f t="array" ref="F26">HSLtoRGB(E26,255,128)</f>
        <v>130966</v>
      </c>
    </row>
    <row r="27" spans="1:6" x14ac:dyDescent="0.25">
      <c r="A27">
        <v>-0.30389824637419022</v>
      </c>
      <c r="B27">
        <v>8.6460297151156613</v>
      </c>
      <c r="C27">
        <v>1.2004997428527466</v>
      </c>
      <c r="E27" s="82">
        <v>62</v>
      </c>
      <c r="F27" s="28" cm="1">
        <f t="array" ref="F27">HSLtoRGB(E27,255,128)</f>
        <v>130954</v>
      </c>
    </row>
    <row r="28" spans="1:6" x14ac:dyDescent="0.25">
      <c r="A28">
        <v>-0.40857309881883819</v>
      </c>
      <c r="B28">
        <v>7.8437019695972081</v>
      </c>
      <c r="C28">
        <v>1.6911418975681298</v>
      </c>
      <c r="E28" s="82">
        <v>65</v>
      </c>
      <c r="F28" s="49" cm="1">
        <f t="array" ref="F28">HSLtoRGB(E28,255,128)</f>
        <v>130937</v>
      </c>
    </row>
    <row r="29" spans="1:6" x14ac:dyDescent="0.25">
      <c r="A29">
        <v>-0.49250426785481549</v>
      </c>
      <c r="B29">
        <v>6.9365276332856869</v>
      </c>
      <c r="C29">
        <v>1.9208801629409717</v>
      </c>
      <c r="E29" s="82">
        <v>67</v>
      </c>
      <c r="F29" s="50" cm="1">
        <f t="array" ref="F29">HSLtoRGB(E29,255,128)</f>
        <v>130925</v>
      </c>
    </row>
    <row r="30" spans="1:6" x14ac:dyDescent="0.25">
      <c r="A30">
        <v>-0.51861893647741508</v>
      </c>
      <c r="B30">
        <v>6.5670039748351119</v>
      </c>
      <c r="C30">
        <v>1.2471772105222836</v>
      </c>
      <c r="E30" s="82">
        <v>70</v>
      </c>
      <c r="F30" s="15" cm="1">
        <f t="array" ref="F30">HSLtoRGB(E30,255,128)</f>
        <v>130907</v>
      </c>
    </row>
    <row r="31" spans="1:6" x14ac:dyDescent="0.25">
      <c r="A31">
        <v>-0.46910836370970338</v>
      </c>
      <c r="B31">
        <v>6.8232370511784382</v>
      </c>
      <c r="C31">
        <v>0.34131991847775422</v>
      </c>
      <c r="E31" s="82">
        <v>72</v>
      </c>
      <c r="F31" s="51" cm="1">
        <f t="array" ref="F31">HSLtoRGB(E31,255,128)</f>
        <v>130895</v>
      </c>
    </row>
    <row r="32" spans="1:6" x14ac:dyDescent="0.25">
      <c r="A32">
        <v>-0.35873172321311703</v>
      </c>
      <c r="B32">
        <v>7.0396332021519576</v>
      </c>
      <c r="C32">
        <v>-0.57159759202618188</v>
      </c>
      <c r="E32" s="82">
        <v>75</v>
      </c>
      <c r="F32" s="52" cm="1">
        <f t="array" ref="F32">HSLtoRGB(E32,255,128)</f>
        <v>130877</v>
      </c>
    </row>
    <row r="33" spans="1:6" x14ac:dyDescent="0.25">
      <c r="A33">
        <v>-0.53406935388788801</v>
      </c>
      <c r="B33">
        <v>6.9201975356587404</v>
      </c>
      <c r="C33">
        <v>-1.4453949410782077</v>
      </c>
      <c r="E33" s="82">
        <v>77</v>
      </c>
      <c r="F33" s="53" cm="1">
        <f t="array" ref="F33">HSLtoRGB(E33,255,128)</f>
        <v>130865</v>
      </c>
    </row>
    <row r="34" spans="1:6" x14ac:dyDescent="0.25">
      <c r="A34">
        <v>-0.70186481021612268</v>
      </c>
      <c r="B34">
        <v>6.390883731885495</v>
      </c>
      <c r="C34">
        <v>-2.0241181181630257</v>
      </c>
      <c r="E34" s="82">
        <v>80</v>
      </c>
      <c r="F34" s="16" cm="1">
        <f t="array" ref="F34">HSLtoRGB(E34,255,128)</f>
        <v>130847</v>
      </c>
    </row>
    <row r="35" spans="1:6" x14ac:dyDescent="0.25">
      <c r="A35">
        <v>-0.8726996193600236</v>
      </c>
      <c r="B35">
        <v>5.7938229381995132</v>
      </c>
      <c r="C35">
        <v>-1.4164895599628524</v>
      </c>
      <c r="E35" s="82">
        <v>82</v>
      </c>
      <c r="F35" s="54" cm="1">
        <f t="array" ref="F35">HSLtoRGB(E35,255,128)</f>
        <v>130835</v>
      </c>
    </row>
    <row r="36" spans="1:6" x14ac:dyDescent="0.25">
      <c r="A36">
        <v>-1.262023963885585</v>
      </c>
      <c r="B36">
        <v>5.6550650258783568</v>
      </c>
      <c r="C36">
        <v>-0.56312072758906906</v>
      </c>
      <c r="E36" s="82">
        <v>85</v>
      </c>
      <c r="F36" s="55" cm="1">
        <f t="array" ref="F36">HSLtoRGB(E36,255,128)</f>
        <v>130817</v>
      </c>
    </row>
    <row r="37" spans="1:6" x14ac:dyDescent="0.25">
      <c r="A37">
        <v>-1.4370666829921102</v>
      </c>
      <c r="B37">
        <v>5.5306277872036604</v>
      </c>
      <c r="C37">
        <v>0.3526734887003713</v>
      </c>
      <c r="E37" s="82">
        <v>87</v>
      </c>
      <c r="F37" s="56" cm="1">
        <f t="array" ref="F37">HSLtoRGB(E37,255,128)</f>
        <v>917249</v>
      </c>
    </row>
    <row r="38" spans="1:6" x14ac:dyDescent="0.25">
      <c r="A38">
        <v>-1.5063662301244154</v>
      </c>
      <c r="B38">
        <v>5.4504066115769838</v>
      </c>
      <c r="C38">
        <v>1.2957039139087561</v>
      </c>
      <c r="E38" s="82">
        <v>90</v>
      </c>
      <c r="F38" s="17" cm="1">
        <f t="array" ref="F38">HSLtoRGB(E38,255,128)</f>
        <v>2096897</v>
      </c>
    </row>
    <row r="39" spans="1:6" x14ac:dyDescent="0.25">
      <c r="A39">
        <v>-1.6134055638939433</v>
      </c>
      <c r="B39">
        <v>5.2764577329115623</v>
      </c>
      <c r="C39">
        <v>2.2207310625197638</v>
      </c>
      <c r="E39" s="82">
        <v>92</v>
      </c>
      <c r="F39" s="29" cm="1">
        <f t="array" ref="F39">HSLtoRGB(E39,255,128)</f>
        <v>2883329</v>
      </c>
    </row>
    <row r="40" spans="1:6" x14ac:dyDescent="0.25">
      <c r="A40">
        <v>-1.7561081503006286</v>
      </c>
      <c r="B40">
        <v>5.0383344849149658</v>
      </c>
      <c r="C40">
        <v>3.1267295205374541</v>
      </c>
      <c r="E40" s="82">
        <v>95</v>
      </c>
      <c r="F40" s="57" cm="1">
        <f t="array" ref="F40">HSLtoRGB(E40,255,128)</f>
        <v>4062977</v>
      </c>
    </row>
    <row r="41" spans="1:6" x14ac:dyDescent="0.25">
      <c r="A41">
        <v>-1.9147378704007429</v>
      </c>
      <c r="B41">
        <v>4.7614014586610773</v>
      </c>
      <c r="C41">
        <v>4.0184753205510839</v>
      </c>
      <c r="E41" s="82">
        <v>97</v>
      </c>
      <c r="F41" s="58" cm="1">
        <f t="array" ref="F41">HSLtoRGB(E41,255,128)</f>
        <v>4849409</v>
      </c>
    </row>
    <row r="42" spans="1:6" x14ac:dyDescent="0.25">
      <c r="A42">
        <v>-1.8909601401172342</v>
      </c>
      <c r="B42">
        <v>4.3570652367770251</v>
      </c>
      <c r="C42">
        <v>4.8669832813512945</v>
      </c>
      <c r="E42" s="82">
        <v>100</v>
      </c>
      <c r="F42" s="18" cm="1">
        <f t="array" ref="F42">HSLtoRGB(E42,255,128)</f>
        <v>6029057</v>
      </c>
    </row>
    <row r="43" spans="1:6" x14ac:dyDescent="0.25">
      <c r="A43">
        <v>-1.8400731412421871</v>
      </c>
      <c r="B43">
        <v>3.8688298497377835</v>
      </c>
      <c r="C43">
        <v>5.6793828480477702</v>
      </c>
      <c r="E43" s="82">
        <v>102</v>
      </c>
      <c r="F43" s="59" cm="1">
        <f t="array" ref="F43">HSLtoRGB(E43,255,128)</f>
        <v>6815489</v>
      </c>
    </row>
    <row r="44" spans="1:6" x14ac:dyDescent="0.25">
      <c r="A44">
        <v>-1.7984440433705331</v>
      </c>
      <c r="B44">
        <v>3.3603125049201319</v>
      </c>
      <c r="C44">
        <v>6.4761556647867788</v>
      </c>
      <c r="E44" s="82">
        <v>105</v>
      </c>
      <c r="F44" s="30" cm="1">
        <f t="array" ref="F44">HSLtoRGB(E44,255,128)</f>
        <v>7995137</v>
      </c>
    </row>
    <row r="45" spans="1:6" x14ac:dyDescent="0.25">
      <c r="A45">
        <v>-1.7298813083826874</v>
      </c>
      <c r="B45">
        <v>2.7961515076456731</v>
      </c>
      <c r="C45">
        <v>7.2328481039386938</v>
      </c>
      <c r="E45" s="82">
        <v>107</v>
      </c>
      <c r="F45" s="60" cm="1">
        <f t="array" ref="F45">HSLtoRGB(E45,255,128)</f>
        <v>8716033</v>
      </c>
    </row>
    <row r="46" spans="1:6" x14ac:dyDescent="0.25">
      <c r="A46">
        <v>-1.4924952603624471</v>
      </c>
      <c r="B46">
        <v>2.2241073431312297</v>
      </c>
      <c r="C46">
        <v>7.9504660269942491</v>
      </c>
      <c r="E46" s="82">
        <v>110</v>
      </c>
      <c r="F46" s="19" cm="1">
        <f t="array" ref="F46">HSLtoRGB(E46,255,128)</f>
        <v>9895681</v>
      </c>
    </row>
    <row r="47" spans="1:6" x14ac:dyDescent="0.25">
      <c r="A47">
        <v>-1.2268235900950013</v>
      </c>
      <c r="B47">
        <v>1.6211421331405327</v>
      </c>
      <c r="C47">
        <v>8.6278006669846334</v>
      </c>
      <c r="E47" s="82">
        <v>112</v>
      </c>
      <c r="F47" s="61" cm="1">
        <f t="array" ref="F47">HSLtoRGB(E47,255,128)</f>
        <v>10682113</v>
      </c>
    </row>
    <row r="48" spans="1:6" x14ac:dyDescent="0.25">
      <c r="A48">
        <v>-0.96994835532398449</v>
      </c>
      <c r="B48">
        <v>0.98094615593681256</v>
      </c>
      <c r="C48">
        <v>9.2829798302319837</v>
      </c>
      <c r="E48" s="82">
        <v>115</v>
      </c>
      <c r="F48" s="62" cm="1">
        <f t="array" ref="F48">HSLtoRGB(E48,255,128)</f>
        <v>11861761</v>
      </c>
    </row>
    <row r="49" spans="1:6" x14ac:dyDescent="0.25">
      <c r="A49">
        <v>-0.72879489947174136</v>
      </c>
      <c r="B49">
        <v>0.3103706297419504</v>
      </c>
      <c r="C49">
        <v>9.9046918020094417</v>
      </c>
      <c r="E49" s="82">
        <v>117</v>
      </c>
      <c r="F49" s="7" cm="1">
        <f t="array" ref="F49">HSLtoRGB(E49,255,128)</f>
        <v>12648193</v>
      </c>
    </row>
    <row r="50" spans="1:6" x14ac:dyDescent="0.25">
      <c r="A50">
        <v>-0.49243831913507091</v>
      </c>
      <c r="B50">
        <v>-0.46195418727029652</v>
      </c>
      <c r="C50">
        <v>10.378619181582335</v>
      </c>
      <c r="E50" s="82">
        <v>120</v>
      </c>
      <c r="F50" s="20" cm="1">
        <f t="array" ref="F50">HSLtoRGB(E50,255,128)</f>
        <v>13827841</v>
      </c>
    </row>
    <row r="51" spans="1:6" x14ac:dyDescent="0.25">
      <c r="A51">
        <v>0.1296215355396271</v>
      </c>
      <c r="B51">
        <v>-1.1288367509841919</v>
      </c>
      <c r="C51">
        <v>10.499812126159668</v>
      </c>
      <c r="E51" s="82">
        <v>122</v>
      </c>
      <c r="F51" s="63" cm="1">
        <f t="array" ref="F51">HSLtoRGB(E51,255,128)</f>
        <v>14614273</v>
      </c>
    </row>
    <row r="52" spans="1:6" x14ac:dyDescent="0.25">
      <c r="A52">
        <v>0.37652726687463989</v>
      </c>
      <c r="B52">
        <v>-1.8131296434348443</v>
      </c>
      <c r="C52">
        <v>9.8917478366367817</v>
      </c>
      <c r="E52" s="82">
        <v>125</v>
      </c>
      <c r="F52" s="64" cm="1">
        <f t="array" ref="F52">HSLtoRGB(E52,255,128)</f>
        <v>15793921</v>
      </c>
    </row>
    <row r="53" spans="1:6" x14ac:dyDescent="0.25">
      <c r="A53">
        <v>0.40612068877443519</v>
      </c>
      <c r="B53">
        <v>-2.0041632537473633</v>
      </c>
      <c r="C53">
        <v>8.9657377264920495</v>
      </c>
      <c r="E53" s="82">
        <v>127</v>
      </c>
      <c r="F53" s="65" cm="1">
        <f t="array" ref="F53">HSLtoRGB(E53,255,128)</f>
        <v>16580353</v>
      </c>
    </row>
    <row r="54" spans="1:6" x14ac:dyDescent="0.25">
      <c r="A54">
        <v>0.36186430308532391</v>
      </c>
      <c r="B54">
        <v>-2.0269331962029971</v>
      </c>
      <c r="C54">
        <v>8.0042313008398072</v>
      </c>
      <c r="E54" s="82">
        <v>130</v>
      </c>
      <c r="F54" s="8" cm="1">
        <f t="array" ref="F54">HSLtoRGB(E54,255,128)</f>
        <v>16773121</v>
      </c>
    </row>
    <row r="55" spans="1:6" x14ac:dyDescent="0.25">
      <c r="A55">
        <v>0.3405232726769587</v>
      </c>
      <c r="B55">
        <v>-1.9664721973279191</v>
      </c>
      <c r="C55">
        <v>7.0488523538917889</v>
      </c>
      <c r="E55" s="82">
        <v>132</v>
      </c>
      <c r="F55" s="66" cm="1">
        <f t="array" ref="F55">HSLtoRGB(E55,255,128)</f>
        <v>16770049</v>
      </c>
    </row>
    <row r="56" spans="1:6" x14ac:dyDescent="0.25">
      <c r="A56">
        <v>0.40265226383934821</v>
      </c>
      <c r="B56">
        <v>-1.8317666506702586</v>
      </c>
      <c r="C56">
        <v>6.1021408398658563</v>
      </c>
      <c r="E56" s="82">
        <v>135</v>
      </c>
      <c r="F56" s="31" cm="1">
        <f t="array" ref="F56">HSLtoRGB(E56,255,128)</f>
        <v>16765441</v>
      </c>
    </row>
    <row r="57" spans="1:6" x14ac:dyDescent="0.25">
      <c r="A57">
        <v>0.377903956655814</v>
      </c>
      <c r="B57">
        <v>-1.6120193086353578</v>
      </c>
      <c r="C57">
        <v>5.1654891641646747</v>
      </c>
      <c r="E57" s="82">
        <v>137</v>
      </c>
      <c r="F57" s="67" cm="1">
        <f t="array" ref="F57">HSLtoRGB(E57,255,128)</f>
        <v>16762369</v>
      </c>
    </row>
    <row r="58" spans="1:6" x14ac:dyDescent="0.25">
      <c r="A58">
        <v>0.294970492045388</v>
      </c>
      <c r="B58">
        <v>-1.3755549955431188</v>
      </c>
      <c r="C58">
        <v>4.2371867158632037</v>
      </c>
      <c r="E58" s="82">
        <v>140</v>
      </c>
      <c r="F58" s="6" cm="1">
        <f t="array" ref="F58">HSLtoRGB(E58,255,128)</f>
        <v>16757761</v>
      </c>
    </row>
    <row r="59" spans="1:6" x14ac:dyDescent="0.25">
      <c r="A59">
        <v>0.1370405451093204</v>
      </c>
      <c r="B59">
        <v>-1.1221801424142552</v>
      </c>
      <c r="C59">
        <v>3.3426032917827566</v>
      </c>
      <c r="E59" s="82">
        <v>142</v>
      </c>
      <c r="F59" s="32" cm="1">
        <f t="array" ref="F59">HSLtoRGB(E59,255,128)</f>
        <v>16754689</v>
      </c>
    </row>
    <row r="60" spans="1:6" x14ac:dyDescent="0.25">
      <c r="A60">
        <v>9.8485881534955994E-2</v>
      </c>
      <c r="B60">
        <v>-1.1210776994477354</v>
      </c>
      <c r="C60">
        <v>2.3994091727357629</v>
      </c>
      <c r="E60" s="82">
        <v>145</v>
      </c>
      <c r="F60" s="68" cm="1">
        <f t="array" ref="F60">HSLtoRGB(E60,255,128)</f>
        <v>16750081</v>
      </c>
    </row>
    <row r="61" spans="1:6" x14ac:dyDescent="0.25">
      <c r="A61">
        <v>5.4586355366224E-3</v>
      </c>
      <c r="B61">
        <v>-1.1004088138923058</v>
      </c>
      <c r="C61">
        <v>1.4475197009785215</v>
      </c>
      <c r="E61" s="82">
        <v>147</v>
      </c>
      <c r="F61" s="69" cm="1">
        <f t="array" ref="F61">HSLtoRGB(E61,255,128)</f>
        <v>16747009</v>
      </c>
    </row>
    <row r="62" spans="1:6" x14ac:dyDescent="0.25">
      <c r="A62">
        <v>2.6167736940643799E-2</v>
      </c>
      <c r="B62">
        <v>-1.1442955588058081</v>
      </c>
      <c r="C62">
        <v>0.49263577145151011</v>
      </c>
      <c r="E62" s="82">
        <v>150</v>
      </c>
      <c r="F62" s="21" cm="1">
        <f t="array" ref="F62">HSLtoRGB(E62,255,128)</f>
        <v>16742657</v>
      </c>
    </row>
    <row r="63" spans="1:6" x14ac:dyDescent="0.25">
      <c r="A63">
        <v>0.15581117074215611</v>
      </c>
      <c r="B63">
        <v>-1.3940287606801065</v>
      </c>
      <c r="C63">
        <v>-0.4136170213726475</v>
      </c>
      <c r="E63" s="82">
        <v>152</v>
      </c>
      <c r="F63" s="70" cm="1">
        <f t="array" ref="F63">HSLtoRGB(E63,255,128)</f>
        <v>16739585</v>
      </c>
    </row>
    <row r="64" spans="1:6" x14ac:dyDescent="0.25">
      <c r="A64">
        <v>0.36188979562057472</v>
      </c>
      <c r="B64">
        <v>-1.6987607121011763</v>
      </c>
      <c r="C64">
        <v>-1.277713570015869</v>
      </c>
      <c r="E64" s="82">
        <v>155</v>
      </c>
      <c r="F64" s="71" cm="1">
        <f t="array" ref="F64">HSLtoRGB(E64,255,128)</f>
        <v>16734977</v>
      </c>
    </row>
    <row r="65" spans="1:6" x14ac:dyDescent="0.25">
      <c r="A65">
        <v>0.94863499544245389</v>
      </c>
      <c r="B65">
        <v>-2.2561085947856223</v>
      </c>
      <c r="C65">
        <v>-1.4745835386135795</v>
      </c>
      <c r="E65" s="82">
        <v>157</v>
      </c>
      <c r="F65" s="72" cm="1">
        <f t="array" ref="F65">HSLtoRGB(E65,255,128)</f>
        <v>16731905</v>
      </c>
    </row>
    <row r="66" spans="1:6" x14ac:dyDescent="0.25">
      <c r="A66">
        <v>1.1777667483877401</v>
      </c>
      <c r="B66">
        <v>-2.5408011081346529</v>
      </c>
      <c r="C66">
        <v>-0.6059297010320881</v>
      </c>
      <c r="E66" s="82">
        <v>160</v>
      </c>
      <c r="F66" s="22" cm="1">
        <f t="array" ref="F66">HSLtoRGB(E66,255,128)</f>
        <v>16727297</v>
      </c>
    </row>
    <row r="67" spans="1:6" x14ac:dyDescent="0.25">
      <c r="A67">
        <v>0.98999898884209003</v>
      </c>
      <c r="B67">
        <v>-2.6926649522664832</v>
      </c>
      <c r="C67">
        <v>0.2856730638728785</v>
      </c>
      <c r="E67" s="82">
        <v>162</v>
      </c>
      <c r="F67" s="73" cm="1">
        <f t="array" ref="F67">HSLtoRGB(E67,255,128)</f>
        <v>16724225</v>
      </c>
    </row>
    <row r="68" spans="1:6" x14ac:dyDescent="0.25">
      <c r="A68">
        <v>0.6135891998290659</v>
      </c>
      <c r="B68">
        <v>-2.8462977298285042</v>
      </c>
      <c r="C68">
        <v>1.1534991473628076</v>
      </c>
      <c r="E68" s="82">
        <v>165</v>
      </c>
      <c r="F68" s="74" cm="1">
        <f t="array" ref="F68">HSLtoRGB(E68,255,128)</f>
        <v>16719617</v>
      </c>
    </row>
    <row r="69" spans="1:6" x14ac:dyDescent="0.25">
      <c r="A69">
        <v>0.30163288449920911</v>
      </c>
      <c r="B69">
        <v>-2.9187564901775853</v>
      </c>
      <c r="C69">
        <v>2.0396368585684783</v>
      </c>
      <c r="E69" s="82">
        <v>167</v>
      </c>
      <c r="F69" s="75" cm="1">
        <f t="array" ref="F69">HSLtoRGB(E69,255,128)</f>
        <v>16716545</v>
      </c>
    </row>
    <row r="70" spans="1:6" x14ac:dyDescent="0.25">
      <c r="A70">
        <v>0.38401372514896659</v>
      </c>
      <c r="B70">
        <v>-2.8739650900740936</v>
      </c>
      <c r="C70">
        <v>2.9912632165236728</v>
      </c>
      <c r="E70" s="82">
        <v>170</v>
      </c>
      <c r="F70" s="23" cm="1">
        <f t="array" ref="F70">HSLtoRGB(E70,255,128)</f>
        <v>16711937</v>
      </c>
    </row>
    <row r="71" spans="1:6" x14ac:dyDescent="0.25">
      <c r="A71">
        <v>0.53803139296501845</v>
      </c>
      <c r="B71">
        <v>-3.2555416248080227</v>
      </c>
      <c r="C71">
        <v>3.7434249297184494</v>
      </c>
      <c r="E71" s="82">
        <v>172</v>
      </c>
      <c r="F71" s="33" cm="1">
        <f t="array" ref="F71">HSLtoRGB(E71,255,128)</f>
        <v>16711949</v>
      </c>
    </row>
    <row r="72" spans="1:6" x14ac:dyDescent="0.25">
      <c r="A72">
        <v>0.67843102527060584</v>
      </c>
      <c r="B72">
        <v>-4.1085110651871535</v>
      </c>
      <c r="C72">
        <v>3.3601774471381738</v>
      </c>
      <c r="E72" s="82">
        <v>175</v>
      </c>
      <c r="F72" s="76" cm="1">
        <f t="array" ref="F72">HSLtoRGB(E72,255,128)</f>
        <v>16711967</v>
      </c>
    </row>
    <row r="73" spans="1:6" x14ac:dyDescent="0.25">
      <c r="A73">
        <v>0.84775550409915013</v>
      </c>
      <c r="B73">
        <v>-4.786169219732149</v>
      </c>
      <c r="C73">
        <v>2.7017871374413973</v>
      </c>
      <c r="E73" s="82">
        <v>177</v>
      </c>
      <c r="F73" s="77" cm="1">
        <f t="array" ref="F73">HSLtoRGB(E73,255,128)</f>
        <v>16711979</v>
      </c>
    </row>
    <row r="74" spans="1:6" x14ac:dyDescent="0.25">
      <c r="A74">
        <v>0.97490882861232619</v>
      </c>
      <c r="B74">
        <v>-5.3221025084352007</v>
      </c>
      <c r="C74">
        <v>1.9154835102051835</v>
      </c>
      <c r="E74" s="82">
        <v>180</v>
      </c>
      <c r="F74" s="24" cm="1">
        <f t="array" ref="F74">HSLtoRGB(E74,255,128)</f>
        <v>16711997</v>
      </c>
    </row>
    <row r="75" spans="1:6" x14ac:dyDescent="0.25">
      <c r="A75">
        <v>1.0684275359797368</v>
      </c>
      <c r="B75">
        <v>-5.7637798352172513</v>
      </c>
      <c r="C75">
        <v>1.0678459251652783</v>
      </c>
      <c r="E75" s="82">
        <v>182</v>
      </c>
      <c r="F75" s="78" cm="1">
        <f t="array" ref="F75">HSLtoRGB(E75,255,128)</f>
        <v>16712009</v>
      </c>
    </row>
    <row r="76" spans="1:6" x14ac:dyDescent="0.25">
      <c r="A76">
        <v>1.1482784663834416</v>
      </c>
      <c r="B76">
        <v>-6.0802997591934096</v>
      </c>
      <c r="C76">
        <v>0.16535708898121049</v>
      </c>
      <c r="E76" s="82">
        <v>185</v>
      </c>
      <c r="F76" s="34" cm="1">
        <f t="array" ref="F76">HSLtoRGB(E76,255,128)</f>
        <v>16712027</v>
      </c>
    </row>
    <row r="77" spans="1:6" x14ac:dyDescent="0.25">
      <c r="A77">
        <v>1.2325752278161364</v>
      </c>
      <c r="B77">
        <v>-6.3299690581533223</v>
      </c>
      <c r="C77">
        <v>-0.76002898627643378</v>
      </c>
      <c r="E77" s="82">
        <v>187</v>
      </c>
      <c r="F77" s="79" cm="1">
        <f t="array" ref="F77">HSLtoRGB(E77,255,128)</f>
        <v>16712039</v>
      </c>
    </row>
    <row r="78" spans="1:6" x14ac:dyDescent="0.25">
      <c r="A78">
        <v>1.3389888360076625</v>
      </c>
      <c r="B78">
        <v>-6.4951646993781837</v>
      </c>
      <c r="C78">
        <v>-1.7013898339219042</v>
      </c>
      <c r="E78" s="82">
        <v>190</v>
      </c>
      <c r="F78" s="25" cm="1">
        <f t="array" ref="F78">HSLtoRGB(E78,255,128)</f>
        <v>16712057</v>
      </c>
    </row>
    <row r="79" spans="1:6" x14ac:dyDescent="0.25">
      <c r="A79">
        <v>1.4409294991424801</v>
      </c>
      <c r="B79">
        <v>-6.689811879366717</v>
      </c>
      <c r="C79">
        <v>-2.6397353757579385</v>
      </c>
      <c r="E79" s="82">
        <v>192</v>
      </c>
      <c r="F79" s="80" cm="1">
        <f t="array" ref="F79">HSLtoRGB(E79,255,128)</f>
        <v>16712068</v>
      </c>
    </row>
    <row r="80" spans="1:6" x14ac:dyDescent="0.25">
      <c r="A80">
        <v>1.5649129716649255</v>
      </c>
      <c r="B80">
        <v>-7.0323059273650781</v>
      </c>
      <c r="C80">
        <v>-3.5275938319551279</v>
      </c>
      <c r="E80" s="82">
        <v>195</v>
      </c>
      <c r="F80" s="81" cm="1">
        <f t="array" ref="F80">HSLtoRGB(E80,255,128)</f>
        <v>16712086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Write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74F49E-5DA5-4F09-80B4-F8CBE9822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Base</vt:lpstr>
      <vt:lpstr>Arch</vt:lpstr>
      <vt:lpstr>Combined</vt:lpstr>
      <vt:lpstr>GraphData_Arch</vt:lpstr>
      <vt:lpstr>GraphData_Base</vt:lpstr>
      <vt:lpstr>Arch!vbaDataRead</vt:lpstr>
      <vt:lpstr>Base!vbaDataRead</vt:lpstr>
      <vt:lpstr>Arch!vbaFileName</vt:lpstr>
      <vt:lpstr>Base!vbaFileName</vt:lpstr>
      <vt:lpstr>Combined!vbaFileName</vt:lpstr>
      <vt:lpstr>vbaNameOut</vt:lpstr>
      <vt:lpstr>Arch!vbaRgeColors</vt:lpstr>
      <vt:lpstr>Base!vbaRgeColors</vt:lpstr>
      <vt:lpstr>Combined!vbaRgeColors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Crisp</dc:creator>
  <cp:lastModifiedBy>Andrew Crisp</cp:lastModifiedBy>
  <dcterms:created xsi:type="dcterms:W3CDTF">2025-07-22T05:19:53Z</dcterms:created>
  <dcterms:modified xsi:type="dcterms:W3CDTF">2025-08-14T16:04:07Z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71131435-3dad-4d4a-bb86-6627d4063f83</vt:lpwstr>
  </property>
</Properties>
</file>